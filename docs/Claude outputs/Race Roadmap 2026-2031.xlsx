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5-Year Roadmap" sheetId="1" state="visible" r:id="rId3"/>
    <sheet name="Race Calendar" sheetId="2" state="visible" r:id="rId4"/>
    <sheet name="Summary" sheetId="3" state="visible" r:id="rId5"/>
  </sheets>
  <definedNames>
    <definedName function="false" hidden="true" localSheetId="1" name="_xlnm._FilterDatabase" vbProcedure="false">'Race Calendar'!$A$1:$M$73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Exact date only where confirmed. Blank = check the date each year; Sydney races repeat on roughly the same weekend.</t>
        </r>
      </text>
    </comment>
  </commentList>
</comments>
</file>

<file path=xl/sharedStrings.xml><?xml version="1.0" encoding="utf-8"?>
<sst xmlns="http://schemas.openxmlformats.org/spreadsheetml/2006/main" count="874" uniqueCount="225">
  <si>
    <t xml:space="preserve">Year</t>
  </si>
  <si>
    <t xml:space="preserve">Age</t>
  </si>
  <si>
    <t xml:space="preserve">Phase</t>
  </si>
  <si>
    <t xml:space="preserve">Main goal</t>
  </si>
  <si>
    <t xml:space="preserve">A races</t>
  </si>
  <si>
    <t xml:space="preserve">A-race count</t>
  </si>
  <si>
    <t xml:space="preserve">Run targets</t>
  </si>
  <si>
    <t xml:space="preserve">Bike target</t>
  </si>
  <si>
    <t xml:space="preserve">Status</t>
  </si>
  <si>
    <t xml:space="preserve">2026</t>
  </si>
  <si>
    <t xml:space="preserve">23</t>
  </si>
  <si>
    <t xml:space="preserve">Injury comeback + bike block</t>
  </si>
  <si>
    <t xml:space="preserve">Heal the shin; build FTP</t>
  </si>
  <si>
    <t xml:space="preserve">Cycling TTs (B)</t>
  </si>
  <si>
    <t xml:space="preserve">Injury: cycling only until cleared; walk–run from ~Nov if pain-free</t>
  </si>
  <si>
    <t xml:space="preserve">FTP test Oct; 250 W by Mar 2027</t>
  </si>
  <si>
    <t xml:space="preserve">2027</t>
  </si>
  <si>
    <t xml:space="preserve">24</t>
  </si>
  <si>
    <t xml:space="preserve">Engine + first duathlons</t>
  </si>
  <si>
    <t xml:space="preserve">First Malaysian results; SEA Games stretch</t>
  </si>
  <si>
    <t xml:space="preserve">TriFactor Malaysia · Asia Duathlon Cup · Sydney 10 · SEA Games (if selected)</t>
  </si>
  <si>
    <t xml:space="preserve">5k &lt;17:00 · 10k &lt;35:30 · HM ~1:20</t>
  </si>
  <si>
    <t xml:space="preserve">FTP 250 → 280 W</t>
  </si>
  <si>
    <t xml:space="preserve">2028</t>
  </si>
  <si>
    <t xml:space="preserve">25</t>
  </si>
  <si>
    <t xml:space="preserve">Podium year</t>
  </si>
  <si>
    <t xml:space="preserve">Powerman Malaysia podium; national top 3</t>
  </si>
  <si>
    <t xml:space="preserve">NSW Duathlon · TriFactor · Asia Cups · Powerman Malaysia · KLSCM half · Zatopek</t>
  </si>
  <si>
    <t xml:space="preserve">5k 16:00 · 10k 34:00 · HM 1:15</t>
  </si>
  <si>
    <t xml:space="preserve">FTP 280–300 W</t>
  </si>
  <si>
    <t xml:space="preserve">2029</t>
  </si>
  <si>
    <t xml:space="preserve">26</t>
  </si>
  <si>
    <t xml:space="preserve">SEA Games</t>
  </si>
  <si>
    <t xml:space="preserve">Represent Malaysia at SEA Games Singapore</t>
  </si>
  <si>
    <t xml:space="preserve">SEA Games · TriFactor · Zofingen (if no clash)</t>
  </si>
  <si>
    <t xml:space="preserve">Hold 10k ~33:30 off the bike</t>
  </si>
  <si>
    <t xml:space="preserve">Race power 280+ W for 60 km</t>
  </si>
  <si>
    <t xml:space="preserve">2030</t>
  </si>
  <si>
    <t xml:space="preserve">27</t>
  </si>
  <si>
    <t xml:space="preserve">Long distance + first marathon</t>
  </si>
  <si>
    <t xml:space="preserve">Zofingen top finish; KL full marathon</t>
  </si>
  <si>
    <t xml:space="preserve">Powerman Malaysia · Zofingen · KLSCM full</t>
  </si>
  <si>
    <t xml:space="preserve">Marathon ~2:40 (first attempt)</t>
  </si>
  <si>
    <t xml:space="preserve">4–5 h long-course power</t>
  </si>
  <si>
    <t xml:space="preserve">2031</t>
  </si>
  <si>
    <t xml:space="preserve">28</t>
  </si>
  <si>
    <t xml:space="preserve">Peak years</t>
  </si>
  <si>
    <t xml:space="preserve">SEA Games Laos medal; Zofingen podium</t>
  </si>
  <si>
    <t xml:space="preserve">SEA Games · TriFactor · Powerman Malaysia · Zofingen</t>
  </si>
  <si>
    <t xml:space="preserve">10k off the bike ~33:00</t>
  </si>
  <si>
    <t xml:space="preserve">Peak FTP 300+ W</t>
  </si>
  <si>
    <t xml:space="preserve">Notes</t>
  </si>
  <si>
    <t xml:space="preserve">A-race count is a formula from the Race Calendar tab; keep it to about 4–6 per year (one every 8–10 weeks).</t>
  </si>
  <si>
    <t xml:space="preserve">Yellow cells (Status, Result) are for you to fill in.</t>
  </si>
  <si>
    <t xml:space="preserve">Asian Games (Doha 2030) have no duathlon, so they're not a target. SEA Games hosts: Malaysia 2027, Singapore 2029, Laos 2031.</t>
  </si>
  <si>
    <t xml:space="preserve">Sydney race dates come from the club master template (2026 dates); check each year.</t>
  </si>
  <si>
    <t xml:space="preserve">Rule: when a Sydney race clashes with a Malaysian selection race, Malaysia comes first.</t>
  </si>
  <si>
    <t xml:space="preserve">Month</t>
  </si>
  <si>
    <t xml:space="preserve">Date</t>
  </si>
  <si>
    <t xml:space="preserve">Event</t>
  </si>
  <si>
    <t xml:space="preserve">Type</t>
  </si>
  <si>
    <t xml:space="preserve">Location</t>
  </si>
  <si>
    <t xml:space="preserve">Country</t>
  </si>
  <si>
    <t xml:space="preserve">Distance</t>
  </si>
  <si>
    <t xml:space="preserve">Priority</t>
  </si>
  <si>
    <t xml:space="preserve">Why</t>
  </si>
  <si>
    <t xml:space="preserve">Result</t>
  </si>
  <si>
    <t xml:space="preserve">Source</t>
  </si>
  <si>
    <t xml:space="preserve">Oct</t>
  </si>
  <si>
    <t xml:space="preserve">NSW 10000m</t>
  </si>
  <si>
    <t xml:space="preserve">Track</t>
  </si>
  <si>
    <t xml:space="preserve">SOPAC</t>
  </si>
  <si>
    <t xml:space="preserve">AUS</t>
  </si>
  <si>
    <t xml:space="preserve">10,000m</t>
  </si>
  <si>
    <t xml:space="preserve">Skip</t>
  </si>
  <si>
    <t xml:space="preserve">Injury: cycling only</t>
  </si>
  <si>
    <t xml:space="preserve">Planned</t>
  </si>
  <si>
    <t xml:space="preserve">Club master template (USYD 2026)</t>
  </si>
  <si>
    <t xml:space="preserve">NSW 3000m</t>
  </si>
  <si>
    <t xml:space="preserve">E.S. Marks</t>
  </si>
  <si>
    <t xml:space="preserve">3000m</t>
  </si>
  <si>
    <t xml:space="preserve">Nov</t>
  </si>
  <si>
    <t xml:space="preserve">Twilight II</t>
  </si>
  <si>
    <t xml:space="preserve">5000m</t>
  </si>
  <si>
    <t xml:space="preserve">Injury: only if 6+ weeks pain-free running</t>
  </si>
  <si>
    <t xml:space="preserve">Dec</t>
  </si>
  <si>
    <t xml:space="preserve">Treloar Shield Final</t>
  </si>
  <si>
    <t xml:space="preserve">1500m</t>
  </si>
  <si>
    <t xml:space="preserve">C</t>
  </si>
  <si>
    <t xml:space="preserve">Only if cleared; first hit-out</t>
  </si>
  <si>
    <t xml:space="preserve">Oct–Dec</t>
  </si>
  <si>
    <t xml:space="preserve">Cycling NSW time trials / club TTs</t>
  </si>
  <si>
    <t xml:space="preserve">Cycling TT</t>
  </si>
  <si>
    <t xml:space="preserve">Sydney</t>
  </si>
  <si>
    <t xml:space="preserve">20–40 km</t>
  </si>
  <si>
    <t xml:space="preserve">B</t>
  </si>
  <si>
    <t xml:space="preserve">Injury bike block: solo power</t>
  </si>
  <si>
    <t xml:space="preserve">Jan</t>
  </si>
  <si>
    <t xml:space="preserve">NSW Duathlon State Championships</t>
  </si>
  <si>
    <t xml:space="preserve">Duathlon</t>
  </si>
  <si>
    <t xml:space="preserve">Eastern Creek, Sydney</t>
  </si>
  <si>
    <t xml:space="preserve">5 / 20 / 2.5 km</t>
  </si>
  <si>
    <t xml:space="preserve">State title; AG Worlds qualifier</t>
  </si>
  <si>
    <t xml:space="preserve">https://www.triathlon.org.au/events/nsw-duathlon-state-championships-3/</t>
  </si>
  <si>
    <t xml:space="preserve">Jun</t>
  </si>
  <si>
    <t xml:space="preserve">TriFactor Malaysia Duathlon</t>
  </si>
  <si>
    <t xml:space="preserve">Iskandar Puteri, Johor</t>
  </si>
  <si>
    <t xml:space="preserve">MAS</t>
  </si>
  <si>
    <t xml:space="preserve">Sprint / standard</t>
  </si>
  <si>
    <t xml:space="preserve">A</t>
  </si>
  <si>
    <t xml:space="preserve">Biggest Malaysian duathlon; selectors watch</t>
  </si>
  <si>
    <t xml:space="preserve">https://www.ticket2u.com.my/event/47517/trifactor-malaysia-duathlon-cyclerun-2026</t>
  </si>
  <si>
    <t xml:space="preserve">Sep</t>
  </si>
  <si>
    <t xml:space="preserve">Powerman Malaysia</t>
  </si>
  <si>
    <t xml:space="preserve">Putrajaya</t>
  </si>
  <si>
    <t xml:space="preserve">10 / 60 / 10 km</t>
  </si>
  <si>
    <t xml:space="preserve">Powerman Classic</t>
  </si>
  <si>
    <t xml:space="preserve">https://powerman.org/</t>
  </si>
  <si>
    <t xml:space="preserve">Oct–Jun</t>
  </si>
  <si>
    <t xml:space="preserve">Contact Triathlon Malaysia: selection criteria + elite licence</t>
  </si>
  <si>
    <t xml:space="preserve">Admin</t>
  </si>
  <si>
    <t xml:space="preserve">—</t>
  </si>
  <si>
    <t xml:space="preserve">Must do</t>
  </si>
  <si>
    <t xml:space="preserve">Ask if duathlon is in the 2027 SEA Games</t>
  </si>
  <si>
    <t xml:space="preserve">TBC</t>
  </si>
  <si>
    <t xml:space="preserve">Asia Triathlon Duathlon Cup</t>
  </si>
  <si>
    <t xml:space="preserve">Asia (e.g. Tam Chuc, VIE)</t>
  </si>
  <si>
    <t xml:space="preserve">ASIA</t>
  </si>
  <si>
    <t xml:space="preserve">Sprint, elite</t>
  </si>
  <si>
    <t xml:space="preserve">Continental ranking points</t>
  </si>
  <si>
    <t xml:space="preserve">https://triathlon.org/events/2026-asia-triathlon-duathlon-cup-tam-chuc</t>
  </si>
  <si>
    <t xml:space="preserve">Jul</t>
  </si>
  <si>
    <t xml:space="preserve">World Triathlon Multisport Champs</t>
  </si>
  <si>
    <t xml:space="preserve">Edmonton</t>
  </si>
  <si>
    <t xml:space="preserve">CAN</t>
  </si>
  <si>
    <t xml:space="preserve">Optional; race for Malaysia (age group)</t>
  </si>
  <si>
    <t xml:space="preserve">https://triathlon.org/news/edmonton-to-host-the-2027-world-triathlon-multisport-championships-on-1625-july</t>
  </si>
  <si>
    <t xml:space="preserve">SEA Games (Malaysia) — if duathlon included and selected</t>
  </si>
  <si>
    <t xml:space="preserve">Malaysia</t>
  </si>
  <si>
    <t xml:space="preserve">Home Games; stretch goal</t>
  </si>
  <si>
    <t xml:space="preserve">https://en.wikipedia.org/wiki/2027_SEA_Games</t>
  </si>
  <si>
    <t xml:space="preserve">May</t>
  </si>
  <si>
    <t xml:space="preserve">Hoka Half</t>
  </si>
  <si>
    <t xml:space="preserve">Half marathon</t>
  </si>
  <si>
    <t xml:space="preserve">Sydney City</t>
  </si>
  <si>
    <t xml:space="preserve">21.1 km</t>
  </si>
  <si>
    <t xml:space="preserve">Half-marathon checkpoint</t>
  </si>
  <si>
    <t xml:space="preserve">Sydney 10</t>
  </si>
  <si>
    <t xml:space="preserve">Road 10k</t>
  </si>
  <si>
    <t xml:space="preserve">10 km</t>
  </si>
  <si>
    <t xml:space="preserve">10k checkpoint</t>
  </si>
  <si>
    <t xml:space="preserve">NSW XC Champs</t>
  </si>
  <si>
    <t xml:space="preserve">Cross country</t>
  </si>
  <si>
    <t xml:space="preserve">Nowra</t>
  </si>
  <si>
    <t xml:space="preserve">Strength; optional</t>
  </si>
  <si>
    <t xml:space="preserve">Gold Coast Marathon weekend</t>
  </si>
  <si>
    <t xml:space="preserve">Gold Coast</t>
  </si>
  <si>
    <t xml:space="preserve">Fast course</t>
  </si>
  <si>
    <t xml:space="preserve">Sydney Harbour 10</t>
  </si>
  <si>
    <t xml:space="preserve">Sydney CBD</t>
  </si>
  <si>
    <t xml:space="preserve">Road 10k check</t>
  </si>
  <si>
    <t xml:space="preserve">Aug</t>
  </si>
  <si>
    <t xml:space="preserve">City2Surf</t>
  </si>
  <si>
    <t xml:space="preserve">Road</t>
  </si>
  <si>
    <t xml:space="preserve">CBD → Bondi</t>
  </si>
  <si>
    <t xml:space="preserve">14 km</t>
  </si>
  <si>
    <t xml:space="preserve">Hard tempo; skip if racing in Asia</t>
  </si>
  <si>
    <t xml:space="preserve">Standard Chartered KL Marathon (KLSCM)</t>
  </si>
  <si>
    <t xml:space="preserve">Kuala Lumpur</t>
  </si>
  <si>
    <t xml:space="preserve">Only if not at the SEA Games (ends 29 Sep)</t>
  </si>
  <si>
    <t xml:space="preserve">https://www.kl-marathon.com/news/116/</t>
  </si>
  <si>
    <t xml:space="preserve">Track 10k</t>
  </si>
  <si>
    <t xml:space="preserve">Speed / relay pace</t>
  </si>
  <si>
    <t xml:space="preserve">Twilight 5000m</t>
  </si>
  <si>
    <t xml:space="preserve">5k checkpoint</t>
  </si>
  <si>
    <t xml:space="preserve">Zatopek:10</t>
  </si>
  <si>
    <t xml:space="preserve">Melbourne</t>
  </si>
  <si>
    <t xml:space="preserve">Fast national 10k</t>
  </si>
  <si>
    <t xml:space="preserve">Asia Triathlon Duathlon Cups (x2)</t>
  </si>
  <si>
    <t xml:space="preserve">Asia</t>
  </si>
  <si>
    <t xml:space="preserve">Ranking points for 2029 selection</t>
  </si>
  <si>
    <t xml:space="preserve">Malaysian national duathlon champs / trials</t>
  </si>
  <si>
    <t xml:space="preserve">Standard</t>
  </si>
  <si>
    <t xml:space="preserve">Main selection race for 2029</t>
  </si>
  <si>
    <t xml:space="preserve">Powerman Würselen</t>
  </si>
  <si>
    <t xml:space="preserve">Würselen</t>
  </si>
  <si>
    <t xml:space="preserve">GER</t>
  </si>
  <si>
    <t xml:space="preserve">10 / 40 / 5 km</t>
  </si>
  <si>
    <t xml:space="preserve">Optional; deep European field</t>
  </si>
  <si>
    <t xml:space="preserve">Top 3 Malaysian; half-marathon 1:15 goal</t>
  </si>
  <si>
    <t xml:space="preserve">SEA Games (Singapore)</t>
  </si>
  <si>
    <t xml:space="preserve">Singapore</t>
  </si>
  <si>
    <t xml:space="preserve">SGP</t>
  </si>
  <si>
    <t xml:space="preserve">TBC (relay / individual)</t>
  </si>
  <si>
    <t xml:space="preserve">A+</t>
  </si>
  <si>
    <t xml:space="preserve">https://www.insidethegames.biz/articles/1123141/sea-games-2025-2027-2029-hosts</t>
  </si>
  <si>
    <t xml:space="preserve">Powerman Long Distance Worlds</t>
  </si>
  <si>
    <t xml:space="preserve">Zofingen</t>
  </si>
  <si>
    <t xml:space="preserve">SUI</t>
  </si>
  <si>
    <t xml:space="preserve">10 / 150 / 30 km</t>
  </si>
  <si>
    <t xml:space="preserve">Long-distance debut (only if dates don't clash with SEA Games)</t>
  </si>
  <si>
    <t xml:space="preserve">https://triathlon.org/news/world-triathlon-congress-welcomes-new-members-and-presents-the-2027-racing-calendar</t>
  </si>
  <si>
    <t xml:space="preserve">Only if not recovering from Zofingen</t>
  </si>
  <si>
    <t xml:space="preserve">Top-10 age group / elite finish</t>
  </si>
  <si>
    <t xml:space="preserve">Marathon build test</t>
  </si>
  <si>
    <t xml:space="preserve">Sydney Marathon</t>
  </si>
  <si>
    <t xml:space="preserve">Marathon</t>
  </si>
  <si>
    <t xml:space="preserve">42.2 km</t>
  </si>
  <si>
    <t xml:space="preserve">Choose KL instead (one marathon a year)</t>
  </si>
  <si>
    <t xml:space="preserve">First full marathon, after the duathlon peak</t>
  </si>
  <si>
    <t xml:space="preserve">Asian Games (Doha)</t>
  </si>
  <si>
    <t xml:space="preserve">Multi-sport Games</t>
  </si>
  <si>
    <t xml:space="preserve">Doha</t>
  </si>
  <si>
    <t xml:space="preserve">QAT</t>
  </si>
  <si>
    <t xml:space="preserve">No duathlon at the Asian Games</t>
  </si>
  <si>
    <t xml:space="preserve">https://en.wikipedia.org/wiki/2030_Asian_Games</t>
  </si>
  <si>
    <t xml:space="preserve">SEA Games (Laos)</t>
  </si>
  <si>
    <t xml:space="preserve">Laos</t>
  </si>
  <si>
    <t xml:space="preserve">LAO</t>
  </si>
  <si>
    <t xml:space="preserve">Age 28: peak duathlon years</t>
  </si>
  <si>
    <t xml:space="preserve">https://www.insidethegames.biz/articles/1125757/laos-philippines-sea-games-2031-2033</t>
  </si>
  <si>
    <t xml:space="preserve">Podium attempt</t>
  </si>
  <si>
    <t xml:space="preserve">Second marathon; top Malaysian</t>
  </si>
  <si>
    <t xml:space="preserve">Total</t>
  </si>
  <si>
    <t xml:space="preserve">Counts races not marked Skip, by type and year.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</si>
</sst>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d\ d\ mmm\ 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E2EFDA"/>
      </patternFill>
    </fill>
    <fill>
      <patternFill patternType="solid">
        <fgColor rgb="FFE2EFDA"/>
        <bgColor rgb="FFD9D9D9"/>
      </patternFill>
    </fill>
    <fill>
      <patternFill patternType="solid">
        <fgColor rgb="FFFFE699"/>
        <bgColor rgb="FFFFFFCC"/>
      </patternFill>
    </fill>
    <fill>
      <patternFill patternType="solid">
        <fgColor rgb="FFF4B183"/>
        <bgColor rgb="FFFF99CC"/>
      </patternFill>
    </fill>
    <fill>
      <patternFill patternType="solid">
        <fgColor rgb="FF9DC3E6"/>
        <bgColor rgb="FFBFBFBF"/>
      </patternFill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DC3E6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DC3E6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3" min="3" style="0" width="26"/>
    <col collapsed="false" customWidth="true" hidden="false" outlineLevel="0" max="4" min="4" style="0" width="38"/>
    <col collapsed="false" customWidth="true" hidden="false" outlineLevel="0" max="5" min="5" style="0" width="50"/>
    <col collapsed="false" customWidth="true" hidden="false" outlineLevel="0" max="6" min="6" style="0" width="10"/>
    <col collapsed="false" customWidth="true" hidden="false" outlineLevel="0" max="7" min="7" style="0" width="34"/>
    <col collapsed="false" customWidth="true" hidden="false" outlineLevel="0" max="8" min="8" style="0" width="28"/>
    <col collapsed="false" customWidth="true" hidden="false" outlineLevel="0" max="9" min="9" style="0" width="16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6.85" hidden="false" customHeight="false" outlineLevel="0" collapsed="false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n">
        <f aca="false">COUNTIFS('Race Calendar'!$A$2:$A$73,A2,'Race Calendar'!$I$2:$I$73,"A")+COUNTIFS('Race Calendar'!$A$2:$A$73,A2,'Race Calendar'!$I$2:$I$73,"A+")</f>
        <v>0</v>
      </c>
      <c r="G2" s="3" t="s">
        <v>14</v>
      </c>
      <c r="H2" s="3" t="s">
        <v>15</v>
      </c>
      <c r="I2" s="4"/>
    </row>
    <row r="3" customFormat="false" ht="26.85" hidden="false" customHeight="false" outlineLevel="0" collapsed="false">
      <c r="A3" s="2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n">
        <f aca="false">COUNTIFS('Race Calendar'!$A$2:$A$73,A3,'Race Calendar'!$I$2:$I$73,"A")+COUNTIFS('Race Calendar'!$A$2:$A$73,A3,'Race Calendar'!$I$2:$I$73,"A+")</f>
        <v>4</v>
      </c>
      <c r="G3" s="3" t="s">
        <v>21</v>
      </c>
      <c r="H3" s="3" t="s">
        <v>22</v>
      </c>
      <c r="I3" s="4"/>
    </row>
    <row r="4" customFormat="false" ht="26.85" hidden="false" customHeight="false" outlineLevel="0" collapsed="false">
      <c r="A4" s="2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n">
        <f aca="false">COUNTIFS('Race Calendar'!$A$2:$A$73,A4,'Race Calendar'!$I$2:$I$73,"A")+COUNTIFS('Race Calendar'!$A$2:$A$73,A4,'Race Calendar'!$I$2:$I$73,"A+")</f>
        <v>6</v>
      </c>
      <c r="G4" s="3" t="s">
        <v>28</v>
      </c>
      <c r="H4" s="3" t="s">
        <v>29</v>
      </c>
      <c r="I4" s="4"/>
    </row>
    <row r="5" customFormat="false" ht="26.85" hidden="false" customHeight="false" outlineLevel="0" collapsed="false">
      <c r="A5" s="2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n">
        <f aca="false">COUNTIFS('Race Calendar'!$A$2:$A$73,A5,'Race Calendar'!$I$2:$I$73,"A")+COUNTIFS('Race Calendar'!$A$2:$A$73,A5,'Race Calendar'!$I$2:$I$73,"A+")</f>
        <v>3</v>
      </c>
      <c r="G5" s="3" t="s">
        <v>35</v>
      </c>
      <c r="H5" s="3" t="s">
        <v>36</v>
      </c>
      <c r="I5" s="4"/>
    </row>
    <row r="6" customFormat="false" ht="26.85" hidden="false" customHeight="false" outlineLevel="0" collapsed="false">
      <c r="A6" s="2" t="s">
        <v>37</v>
      </c>
      <c r="B6" s="3" t="s">
        <v>38</v>
      </c>
      <c r="C6" s="3" t="s">
        <v>39</v>
      </c>
      <c r="D6" s="3" t="s">
        <v>40</v>
      </c>
      <c r="E6" s="3" t="s">
        <v>41</v>
      </c>
      <c r="F6" s="3" t="n">
        <f aca="false">COUNTIFS('Race Calendar'!$A$2:$A$73,A6,'Race Calendar'!$I$2:$I$73,"A")+COUNTIFS('Race Calendar'!$A$2:$A$73,A6,'Race Calendar'!$I$2:$I$73,"A+")</f>
        <v>3</v>
      </c>
      <c r="G6" s="3" t="s">
        <v>42</v>
      </c>
      <c r="H6" s="3" t="s">
        <v>43</v>
      </c>
      <c r="I6" s="4"/>
    </row>
    <row r="7" customFormat="false" ht="26.85" hidden="false" customHeight="false" outlineLevel="0" collapsed="false">
      <c r="A7" s="2" t="s">
        <v>44</v>
      </c>
      <c r="B7" s="3" t="s">
        <v>45</v>
      </c>
      <c r="C7" s="3" t="s">
        <v>46</v>
      </c>
      <c r="D7" s="3" t="s">
        <v>47</v>
      </c>
      <c r="E7" s="3" t="s">
        <v>48</v>
      </c>
      <c r="F7" s="3" t="n">
        <f aca="false">COUNTIFS('Race Calendar'!$A$2:$A$73,A7,'Race Calendar'!$I$2:$I$73,"A")+COUNTIFS('Race Calendar'!$A$2:$A$73,A7,'Race Calendar'!$I$2:$I$73,"A+")</f>
        <v>4</v>
      </c>
      <c r="G7" s="3" t="s">
        <v>49</v>
      </c>
      <c r="H7" s="3" t="s">
        <v>50</v>
      </c>
      <c r="I7" s="4"/>
    </row>
    <row r="9" customFormat="false" ht="15" hidden="false" customHeight="false" outlineLevel="0" collapsed="false">
      <c r="A9" s="5" t="s">
        <v>51</v>
      </c>
    </row>
    <row r="10" customFormat="false" ht="15" hidden="false" customHeight="false" outlineLevel="0" collapsed="false">
      <c r="A10" s="6" t="s">
        <v>52</v>
      </c>
    </row>
    <row r="11" customFormat="false" ht="15" hidden="false" customHeight="false" outlineLevel="0" collapsed="false">
      <c r="A11" s="6" t="s">
        <v>53</v>
      </c>
    </row>
    <row r="12" customFormat="false" ht="15" hidden="false" customHeight="false" outlineLevel="0" collapsed="false">
      <c r="A12" s="6" t="s">
        <v>54</v>
      </c>
    </row>
    <row r="13" customFormat="false" ht="15" hidden="false" customHeight="false" outlineLevel="0" collapsed="false">
      <c r="A13" s="6" t="s">
        <v>55</v>
      </c>
    </row>
    <row r="14" customFormat="false" ht="15" hidden="false" customHeight="false" outlineLevel="0" collapsed="false">
      <c r="A14" s="6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48"/>
    <col collapsed="false" customWidth="true" hidden="false" outlineLevel="0" max="5" min="5" style="0" width="15"/>
    <col collapsed="false" customWidth="true" hidden="false" outlineLevel="0" max="6" min="6" style="0" width="24"/>
    <col collapsed="false" customWidth="true" hidden="false" outlineLevel="0" max="7" min="7" style="0" width="8"/>
    <col collapsed="false" customWidth="true" hidden="false" outlineLevel="0" max="8" min="8" style="0" width="20"/>
    <col collapsed="false" customWidth="true" hidden="false" outlineLevel="0" max="9" min="9" style="0" width="10"/>
    <col collapsed="false" customWidth="true" hidden="false" outlineLevel="0" max="10" min="10" style="0" width="48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40"/>
  </cols>
  <sheetData>
    <row r="1" customFormat="false" ht="26.85" hidden="false" customHeight="false" outlineLevel="0" collapsed="false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8</v>
      </c>
      <c r="L1" s="1" t="s">
        <v>66</v>
      </c>
      <c r="M1" s="1" t="s">
        <v>67</v>
      </c>
    </row>
    <row r="2" customFormat="false" ht="15" hidden="false" customHeight="false" outlineLevel="0" collapsed="false">
      <c r="A2" s="7" t="s">
        <v>9</v>
      </c>
      <c r="B2" s="7" t="s">
        <v>68</v>
      </c>
      <c r="C2" s="8" t="n">
        <v>46310</v>
      </c>
      <c r="D2" s="3" t="s">
        <v>69</v>
      </c>
      <c r="E2" s="7" t="s">
        <v>70</v>
      </c>
      <c r="F2" s="7" t="s">
        <v>71</v>
      </c>
      <c r="G2" s="7" t="s">
        <v>72</v>
      </c>
      <c r="H2" s="7" t="s">
        <v>73</v>
      </c>
      <c r="I2" s="9" t="s">
        <v>74</v>
      </c>
      <c r="J2" s="3" t="s">
        <v>75</v>
      </c>
      <c r="K2" s="10" t="s">
        <v>76</v>
      </c>
      <c r="L2" s="10"/>
      <c r="M2" s="7" t="s">
        <v>77</v>
      </c>
    </row>
    <row r="3" customFormat="false" ht="15" hidden="false" customHeight="false" outlineLevel="0" collapsed="false">
      <c r="A3" s="7" t="s">
        <v>9</v>
      </c>
      <c r="B3" s="7" t="s">
        <v>68</v>
      </c>
      <c r="C3" s="8" t="n">
        <v>46326</v>
      </c>
      <c r="D3" s="3" t="s">
        <v>78</v>
      </c>
      <c r="E3" s="7" t="s">
        <v>70</v>
      </c>
      <c r="F3" s="7" t="s">
        <v>79</v>
      </c>
      <c r="G3" s="7" t="s">
        <v>72</v>
      </c>
      <c r="H3" s="7" t="s">
        <v>80</v>
      </c>
      <c r="I3" s="9" t="s">
        <v>74</v>
      </c>
      <c r="J3" s="3" t="s">
        <v>75</v>
      </c>
      <c r="K3" s="10" t="s">
        <v>76</v>
      </c>
      <c r="L3" s="10"/>
      <c r="M3" s="7" t="s">
        <v>77</v>
      </c>
    </row>
    <row r="4" customFormat="false" ht="15" hidden="false" customHeight="false" outlineLevel="0" collapsed="false">
      <c r="A4" s="7" t="s">
        <v>9</v>
      </c>
      <c r="B4" s="7" t="s">
        <v>81</v>
      </c>
      <c r="C4" s="8" t="n">
        <v>46352</v>
      </c>
      <c r="D4" s="3" t="s">
        <v>82</v>
      </c>
      <c r="E4" s="7" t="s">
        <v>70</v>
      </c>
      <c r="F4" s="7" t="s">
        <v>71</v>
      </c>
      <c r="G4" s="7" t="s">
        <v>72</v>
      </c>
      <c r="H4" s="7" t="s">
        <v>83</v>
      </c>
      <c r="I4" s="9" t="s">
        <v>74</v>
      </c>
      <c r="J4" s="3" t="s">
        <v>84</v>
      </c>
      <c r="K4" s="10" t="s">
        <v>76</v>
      </c>
      <c r="L4" s="10"/>
      <c r="M4" s="7" t="s">
        <v>77</v>
      </c>
    </row>
    <row r="5" customFormat="false" ht="15" hidden="false" customHeight="false" outlineLevel="0" collapsed="false">
      <c r="A5" s="7" t="s">
        <v>9</v>
      </c>
      <c r="B5" s="7" t="s">
        <v>85</v>
      </c>
      <c r="C5" s="8" t="n">
        <v>46368</v>
      </c>
      <c r="D5" s="3" t="s">
        <v>86</v>
      </c>
      <c r="E5" s="7" t="s">
        <v>70</v>
      </c>
      <c r="F5" s="7" t="s">
        <v>71</v>
      </c>
      <c r="G5" s="7" t="s">
        <v>72</v>
      </c>
      <c r="H5" s="7" t="s">
        <v>87</v>
      </c>
      <c r="I5" s="11" t="s">
        <v>88</v>
      </c>
      <c r="J5" s="3" t="s">
        <v>89</v>
      </c>
      <c r="K5" s="10" t="s">
        <v>76</v>
      </c>
      <c r="L5" s="10"/>
      <c r="M5" s="7" t="s">
        <v>77</v>
      </c>
    </row>
    <row r="6" customFormat="false" ht="15" hidden="false" customHeight="false" outlineLevel="0" collapsed="false">
      <c r="A6" s="7" t="s">
        <v>9</v>
      </c>
      <c r="B6" s="7" t="s">
        <v>90</v>
      </c>
      <c r="C6" s="8"/>
      <c r="D6" s="3" t="s">
        <v>91</v>
      </c>
      <c r="E6" s="7" t="s">
        <v>92</v>
      </c>
      <c r="F6" s="7" t="s">
        <v>93</v>
      </c>
      <c r="G6" s="7" t="s">
        <v>72</v>
      </c>
      <c r="H6" s="7" t="s">
        <v>94</v>
      </c>
      <c r="I6" s="12" t="s">
        <v>95</v>
      </c>
      <c r="J6" s="3" t="s">
        <v>96</v>
      </c>
      <c r="K6" s="10" t="s">
        <v>76</v>
      </c>
      <c r="L6" s="10"/>
      <c r="M6" s="7"/>
    </row>
    <row r="7" customFormat="false" ht="15" hidden="false" customHeight="false" outlineLevel="0" collapsed="false">
      <c r="A7" s="7" t="s">
        <v>16</v>
      </c>
      <c r="B7" s="7" t="s">
        <v>97</v>
      </c>
      <c r="C7" s="8"/>
      <c r="D7" s="3" t="s">
        <v>98</v>
      </c>
      <c r="E7" s="7" t="s">
        <v>99</v>
      </c>
      <c r="F7" s="7" t="s">
        <v>100</v>
      </c>
      <c r="G7" s="7" t="s">
        <v>72</v>
      </c>
      <c r="H7" s="7" t="s">
        <v>101</v>
      </c>
      <c r="I7" s="12" t="s">
        <v>95</v>
      </c>
      <c r="J7" s="3" t="s">
        <v>102</v>
      </c>
      <c r="K7" s="10" t="s">
        <v>76</v>
      </c>
      <c r="L7" s="10"/>
      <c r="M7" s="7" t="s">
        <v>103</v>
      </c>
    </row>
    <row r="8" customFormat="false" ht="15" hidden="false" customHeight="false" outlineLevel="0" collapsed="false">
      <c r="A8" s="7" t="s">
        <v>16</v>
      </c>
      <c r="B8" s="7" t="s">
        <v>104</v>
      </c>
      <c r="C8" s="8"/>
      <c r="D8" s="3" t="s">
        <v>105</v>
      </c>
      <c r="E8" s="7" t="s">
        <v>99</v>
      </c>
      <c r="F8" s="7" t="s">
        <v>106</v>
      </c>
      <c r="G8" s="7" t="s">
        <v>107</v>
      </c>
      <c r="H8" s="7" t="s">
        <v>108</v>
      </c>
      <c r="I8" s="13" t="s">
        <v>109</v>
      </c>
      <c r="J8" s="3" t="s">
        <v>110</v>
      </c>
      <c r="K8" s="10" t="s">
        <v>76</v>
      </c>
      <c r="L8" s="10"/>
      <c r="M8" s="7" t="s">
        <v>111</v>
      </c>
    </row>
    <row r="9" customFormat="false" ht="15" hidden="false" customHeight="false" outlineLevel="0" collapsed="false">
      <c r="A9" s="7" t="s">
        <v>16</v>
      </c>
      <c r="B9" s="7" t="s">
        <v>112</v>
      </c>
      <c r="C9" s="8"/>
      <c r="D9" s="3" t="s">
        <v>113</v>
      </c>
      <c r="E9" s="7" t="s">
        <v>99</v>
      </c>
      <c r="F9" s="7" t="s">
        <v>114</v>
      </c>
      <c r="G9" s="7" t="s">
        <v>107</v>
      </c>
      <c r="H9" s="7" t="s">
        <v>115</v>
      </c>
      <c r="I9" s="12" t="s">
        <v>95</v>
      </c>
      <c r="J9" s="3" t="s">
        <v>116</v>
      </c>
      <c r="K9" s="10" t="s">
        <v>76</v>
      </c>
      <c r="L9" s="10"/>
      <c r="M9" s="7" t="s">
        <v>117</v>
      </c>
    </row>
    <row r="10" customFormat="false" ht="26.85" hidden="false" customHeight="false" outlineLevel="0" collapsed="false">
      <c r="A10" s="7" t="s">
        <v>16</v>
      </c>
      <c r="B10" s="7" t="s">
        <v>118</v>
      </c>
      <c r="C10" s="8"/>
      <c r="D10" s="3" t="s">
        <v>119</v>
      </c>
      <c r="E10" s="7" t="s">
        <v>120</v>
      </c>
      <c r="F10" s="7" t="s">
        <v>121</v>
      </c>
      <c r="G10" s="7" t="s">
        <v>107</v>
      </c>
      <c r="H10" s="7" t="s">
        <v>121</v>
      </c>
      <c r="I10" s="14" t="s">
        <v>122</v>
      </c>
      <c r="J10" s="3" t="s">
        <v>123</v>
      </c>
      <c r="K10" s="10" t="s">
        <v>76</v>
      </c>
      <c r="L10" s="10"/>
      <c r="M10" s="7"/>
    </row>
    <row r="11" customFormat="false" ht="15" hidden="false" customHeight="false" outlineLevel="0" collapsed="false">
      <c r="A11" s="7" t="s">
        <v>16</v>
      </c>
      <c r="B11" s="7" t="s">
        <v>124</v>
      </c>
      <c r="C11" s="8"/>
      <c r="D11" s="3" t="s">
        <v>125</v>
      </c>
      <c r="E11" s="7" t="s">
        <v>99</v>
      </c>
      <c r="F11" s="7" t="s">
        <v>126</v>
      </c>
      <c r="G11" s="7" t="s">
        <v>127</v>
      </c>
      <c r="H11" s="7" t="s">
        <v>128</v>
      </c>
      <c r="I11" s="13" t="s">
        <v>109</v>
      </c>
      <c r="J11" s="3" t="s">
        <v>129</v>
      </c>
      <c r="K11" s="10" t="s">
        <v>76</v>
      </c>
      <c r="L11" s="10"/>
      <c r="M11" s="7" t="s">
        <v>130</v>
      </c>
    </row>
    <row r="12" customFormat="false" ht="15" hidden="false" customHeight="false" outlineLevel="0" collapsed="false">
      <c r="A12" s="7" t="s">
        <v>16</v>
      </c>
      <c r="B12" s="7" t="s">
        <v>131</v>
      </c>
      <c r="C12" s="8" t="n">
        <v>46585</v>
      </c>
      <c r="D12" s="3" t="s">
        <v>132</v>
      </c>
      <c r="E12" s="7" t="s">
        <v>99</v>
      </c>
      <c r="F12" s="7" t="s">
        <v>133</v>
      </c>
      <c r="G12" s="7" t="s">
        <v>134</v>
      </c>
      <c r="H12" s="7" t="s">
        <v>108</v>
      </c>
      <c r="I12" s="12" t="s">
        <v>95</v>
      </c>
      <c r="J12" s="3" t="s">
        <v>135</v>
      </c>
      <c r="K12" s="10" t="s">
        <v>76</v>
      </c>
      <c r="L12" s="10"/>
      <c r="M12" s="7" t="s">
        <v>136</v>
      </c>
    </row>
    <row r="13" customFormat="false" ht="26.85" hidden="false" customHeight="false" outlineLevel="0" collapsed="false">
      <c r="A13" s="7" t="s">
        <v>16</v>
      </c>
      <c r="B13" s="7" t="s">
        <v>112</v>
      </c>
      <c r="C13" s="8" t="n">
        <v>46648</v>
      </c>
      <c r="D13" s="3" t="s">
        <v>137</v>
      </c>
      <c r="E13" s="7" t="s">
        <v>99</v>
      </c>
      <c r="F13" s="7" t="s">
        <v>138</v>
      </c>
      <c r="G13" s="7" t="s">
        <v>107</v>
      </c>
      <c r="H13" s="7" t="s">
        <v>124</v>
      </c>
      <c r="I13" s="13" t="s">
        <v>109</v>
      </c>
      <c r="J13" s="3" t="s">
        <v>139</v>
      </c>
      <c r="K13" s="10" t="s">
        <v>76</v>
      </c>
      <c r="L13" s="10"/>
      <c r="M13" s="7" t="s">
        <v>140</v>
      </c>
    </row>
    <row r="14" customFormat="false" ht="15" hidden="false" customHeight="false" outlineLevel="0" collapsed="false">
      <c r="A14" s="7" t="s">
        <v>16</v>
      </c>
      <c r="B14" s="7" t="s">
        <v>141</v>
      </c>
      <c r="C14" s="8"/>
      <c r="D14" s="3" t="s">
        <v>142</v>
      </c>
      <c r="E14" s="7" t="s">
        <v>143</v>
      </c>
      <c r="F14" s="7" t="s">
        <v>144</v>
      </c>
      <c r="G14" s="7" t="s">
        <v>72</v>
      </c>
      <c r="H14" s="7" t="s">
        <v>145</v>
      </c>
      <c r="I14" s="12" t="s">
        <v>95</v>
      </c>
      <c r="J14" s="3" t="s">
        <v>146</v>
      </c>
      <c r="K14" s="10" t="s">
        <v>76</v>
      </c>
      <c r="L14" s="10"/>
      <c r="M14" s="7" t="s">
        <v>77</v>
      </c>
    </row>
    <row r="15" customFormat="false" ht="15" hidden="false" customHeight="false" outlineLevel="0" collapsed="false">
      <c r="A15" s="7" t="s">
        <v>16</v>
      </c>
      <c r="B15" s="7" t="s">
        <v>141</v>
      </c>
      <c r="C15" s="8"/>
      <c r="D15" s="3" t="s">
        <v>147</v>
      </c>
      <c r="E15" s="7" t="s">
        <v>148</v>
      </c>
      <c r="F15" s="7" t="s">
        <v>71</v>
      </c>
      <c r="G15" s="7" t="s">
        <v>72</v>
      </c>
      <c r="H15" s="7" t="s">
        <v>149</v>
      </c>
      <c r="I15" s="13" t="s">
        <v>109</v>
      </c>
      <c r="J15" s="3" t="s">
        <v>150</v>
      </c>
      <c r="K15" s="10" t="s">
        <v>76</v>
      </c>
      <c r="L15" s="10"/>
      <c r="M15" s="7" t="s">
        <v>77</v>
      </c>
    </row>
    <row r="16" customFormat="false" ht="15" hidden="false" customHeight="false" outlineLevel="0" collapsed="false">
      <c r="A16" s="7" t="s">
        <v>16</v>
      </c>
      <c r="B16" s="7" t="s">
        <v>104</v>
      </c>
      <c r="C16" s="8"/>
      <c r="D16" s="3" t="s">
        <v>151</v>
      </c>
      <c r="E16" s="7" t="s">
        <v>152</v>
      </c>
      <c r="F16" s="7" t="s">
        <v>153</v>
      </c>
      <c r="G16" s="7" t="s">
        <v>72</v>
      </c>
      <c r="H16" s="7" t="s">
        <v>149</v>
      </c>
      <c r="I16" s="11" t="s">
        <v>88</v>
      </c>
      <c r="J16" s="3" t="s">
        <v>154</v>
      </c>
      <c r="K16" s="10" t="s">
        <v>76</v>
      </c>
      <c r="L16" s="10"/>
      <c r="M16" s="7" t="s">
        <v>77</v>
      </c>
    </row>
    <row r="17" customFormat="false" ht="15" hidden="false" customHeight="false" outlineLevel="0" collapsed="false">
      <c r="A17" s="7" t="s">
        <v>16</v>
      </c>
      <c r="B17" s="7" t="s">
        <v>131</v>
      </c>
      <c r="C17" s="8"/>
      <c r="D17" s="3" t="s">
        <v>155</v>
      </c>
      <c r="E17" s="7" t="s">
        <v>143</v>
      </c>
      <c r="F17" s="7" t="s">
        <v>156</v>
      </c>
      <c r="G17" s="7" t="s">
        <v>72</v>
      </c>
      <c r="H17" s="7" t="s">
        <v>145</v>
      </c>
      <c r="I17" s="12" t="s">
        <v>95</v>
      </c>
      <c r="J17" s="3" t="s">
        <v>157</v>
      </c>
      <c r="K17" s="10" t="s">
        <v>76</v>
      </c>
      <c r="L17" s="10"/>
      <c r="M17" s="7" t="s">
        <v>77</v>
      </c>
    </row>
    <row r="18" customFormat="false" ht="15" hidden="false" customHeight="false" outlineLevel="0" collapsed="false">
      <c r="A18" s="7" t="s">
        <v>16</v>
      </c>
      <c r="B18" s="7" t="s">
        <v>131</v>
      </c>
      <c r="C18" s="8"/>
      <c r="D18" s="3" t="s">
        <v>158</v>
      </c>
      <c r="E18" s="7" t="s">
        <v>148</v>
      </c>
      <c r="F18" s="7" t="s">
        <v>159</v>
      </c>
      <c r="G18" s="7" t="s">
        <v>72</v>
      </c>
      <c r="H18" s="7" t="s">
        <v>149</v>
      </c>
      <c r="I18" s="12" t="s">
        <v>95</v>
      </c>
      <c r="J18" s="3" t="s">
        <v>160</v>
      </c>
      <c r="K18" s="10" t="s">
        <v>76</v>
      </c>
      <c r="L18" s="10"/>
      <c r="M18" s="7" t="s">
        <v>77</v>
      </c>
    </row>
    <row r="19" customFormat="false" ht="15" hidden="false" customHeight="false" outlineLevel="0" collapsed="false">
      <c r="A19" s="7" t="s">
        <v>16</v>
      </c>
      <c r="B19" s="7" t="s">
        <v>161</v>
      </c>
      <c r="C19" s="8"/>
      <c r="D19" s="3" t="s">
        <v>162</v>
      </c>
      <c r="E19" s="7" t="s">
        <v>163</v>
      </c>
      <c r="F19" s="7" t="s">
        <v>164</v>
      </c>
      <c r="G19" s="7" t="s">
        <v>72</v>
      </c>
      <c r="H19" s="7" t="s">
        <v>165</v>
      </c>
      <c r="I19" s="11" t="s">
        <v>88</v>
      </c>
      <c r="J19" s="3" t="s">
        <v>166</v>
      </c>
      <c r="K19" s="10" t="s">
        <v>76</v>
      </c>
      <c r="L19" s="10"/>
      <c r="M19" s="7" t="s">
        <v>77</v>
      </c>
    </row>
    <row r="20" customFormat="false" ht="15" hidden="false" customHeight="false" outlineLevel="0" collapsed="false">
      <c r="A20" s="7" t="s">
        <v>16</v>
      </c>
      <c r="B20" s="7" t="s">
        <v>68</v>
      </c>
      <c r="C20" s="8"/>
      <c r="D20" s="3" t="s">
        <v>167</v>
      </c>
      <c r="E20" s="7" t="s">
        <v>143</v>
      </c>
      <c r="F20" s="7" t="s">
        <v>168</v>
      </c>
      <c r="G20" s="7" t="s">
        <v>107</v>
      </c>
      <c r="H20" s="7" t="s">
        <v>145</v>
      </c>
      <c r="I20" s="12" t="s">
        <v>95</v>
      </c>
      <c r="J20" s="3" t="s">
        <v>169</v>
      </c>
      <c r="K20" s="10" t="s">
        <v>76</v>
      </c>
      <c r="L20" s="10"/>
      <c r="M20" s="7" t="s">
        <v>170</v>
      </c>
    </row>
    <row r="21" customFormat="false" ht="15" hidden="false" customHeight="false" outlineLevel="0" collapsed="false">
      <c r="A21" s="7" t="s">
        <v>16</v>
      </c>
      <c r="B21" s="7" t="s">
        <v>68</v>
      </c>
      <c r="C21" s="8"/>
      <c r="D21" s="3" t="s">
        <v>69</v>
      </c>
      <c r="E21" s="7" t="s">
        <v>70</v>
      </c>
      <c r="F21" s="7" t="s">
        <v>71</v>
      </c>
      <c r="G21" s="7" t="s">
        <v>72</v>
      </c>
      <c r="H21" s="7" t="s">
        <v>73</v>
      </c>
      <c r="I21" s="12" t="s">
        <v>95</v>
      </c>
      <c r="J21" s="3" t="s">
        <v>171</v>
      </c>
      <c r="K21" s="10" t="s">
        <v>76</v>
      </c>
      <c r="L21" s="10"/>
      <c r="M21" s="7" t="s">
        <v>77</v>
      </c>
    </row>
    <row r="22" customFormat="false" ht="15" hidden="false" customHeight="false" outlineLevel="0" collapsed="false">
      <c r="A22" s="7" t="s">
        <v>16</v>
      </c>
      <c r="B22" s="7" t="s">
        <v>68</v>
      </c>
      <c r="C22" s="8"/>
      <c r="D22" s="3" t="s">
        <v>78</v>
      </c>
      <c r="E22" s="7" t="s">
        <v>70</v>
      </c>
      <c r="F22" s="7" t="s">
        <v>79</v>
      </c>
      <c r="G22" s="7" t="s">
        <v>72</v>
      </c>
      <c r="H22" s="7" t="s">
        <v>80</v>
      </c>
      <c r="I22" s="11" t="s">
        <v>88</v>
      </c>
      <c r="J22" s="3" t="s">
        <v>172</v>
      </c>
      <c r="K22" s="10" t="s">
        <v>76</v>
      </c>
      <c r="L22" s="10"/>
      <c r="M22" s="7" t="s">
        <v>77</v>
      </c>
    </row>
    <row r="23" customFormat="false" ht="15" hidden="false" customHeight="false" outlineLevel="0" collapsed="false">
      <c r="A23" s="7" t="s">
        <v>16</v>
      </c>
      <c r="B23" s="7" t="s">
        <v>81</v>
      </c>
      <c r="C23" s="8"/>
      <c r="D23" s="3" t="s">
        <v>173</v>
      </c>
      <c r="E23" s="7" t="s">
        <v>70</v>
      </c>
      <c r="F23" s="7" t="s">
        <v>71</v>
      </c>
      <c r="G23" s="7" t="s">
        <v>72</v>
      </c>
      <c r="H23" s="7" t="s">
        <v>83</v>
      </c>
      <c r="I23" s="12" t="s">
        <v>95</v>
      </c>
      <c r="J23" s="3" t="s">
        <v>174</v>
      </c>
      <c r="K23" s="10" t="s">
        <v>76</v>
      </c>
      <c r="L23" s="10"/>
      <c r="M23" s="7" t="s">
        <v>77</v>
      </c>
    </row>
    <row r="24" customFormat="false" ht="15" hidden="false" customHeight="false" outlineLevel="0" collapsed="false">
      <c r="A24" s="7" t="s">
        <v>16</v>
      </c>
      <c r="B24" s="7" t="s">
        <v>85</v>
      </c>
      <c r="C24" s="8"/>
      <c r="D24" s="3" t="s">
        <v>175</v>
      </c>
      <c r="E24" s="7" t="s">
        <v>70</v>
      </c>
      <c r="F24" s="7" t="s">
        <v>176</v>
      </c>
      <c r="G24" s="7" t="s">
        <v>72</v>
      </c>
      <c r="H24" s="7" t="s">
        <v>73</v>
      </c>
      <c r="I24" s="12" t="s">
        <v>95</v>
      </c>
      <c r="J24" s="3" t="s">
        <v>177</v>
      </c>
      <c r="K24" s="10" t="s">
        <v>76</v>
      </c>
      <c r="L24" s="10"/>
      <c r="M24" s="7"/>
    </row>
    <row r="25" customFormat="false" ht="15" hidden="false" customHeight="false" outlineLevel="0" collapsed="false">
      <c r="A25" s="7" t="s">
        <v>23</v>
      </c>
      <c r="B25" s="7" t="s">
        <v>97</v>
      </c>
      <c r="C25" s="8"/>
      <c r="D25" s="3" t="s">
        <v>98</v>
      </c>
      <c r="E25" s="7" t="s">
        <v>99</v>
      </c>
      <c r="F25" s="7" t="s">
        <v>100</v>
      </c>
      <c r="G25" s="7" t="s">
        <v>72</v>
      </c>
      <c r="H25" s="7" t="s">
        <v>101</v>
      </c>
      <c r="I25" s="12" t="s">
        <v>95</v>
      </c>
      <c r="J25" s="3" t="s">
        <v>102</v>
      </c>
      <c r="K25" s="10" t="s">
        <v>76</v>
      </c>
      <c r="L25" s="10"/>
      <c r="M25" s="7" t="s">
        <v>103</v>
      </c>
    </row>
    <row r="26" customFormat="false" ht="15" hidden="false" customHeight="false" outlineLevel="0" collapsed="false">
      <c r="A26" s="7" t="s">
        <v>23</v>
      </c>
      <c r="B26" s="7" t="s">
        <v>104</v>
      </c>
      <c r="C26" s="8"/>
      <c r="D26" s="3" t="s">
        <v>105</v>
      </c>
      <c r="E26" s="7" t="s">
        <v>99</v>
      </c>
      <c r="F26" s="7" t="s">
        <v>106</v>
      </c>
      <c r="G26" s="7" t="s">
        <v>107</v>
      </c>
      <c r="H26" s="7" t="s">
        <v>108</v>
      </c>
      <c r="I26" s="13" t="s">
        <v>109</v>
      </c>
      <c r="J26" s="3" t="s">
        <v>110</v>
      </c>
      <c r="K26" s="10" t="s">
        <v>76</v>
      </c>
      <c r="L26" s="10"/>
      <c r="M26" s="7" t="s">
        <v>111</v>
      </c>
    </row>
    <row r="27" customFormat="false" ht="15" hidden="false" customHeight="false" outlineLevel="0" collapsed="false">
      <c r="A27" s="7" t="s">
        <v>23</v>
      </c>
      <c r="B27" s="7" t="s">
        <v>112</v>
      </c>
      <c r="C27" s="8"/>
      <c r="D27" s="3" t="s">
        <v>113</v>
      </c>
      <c r="E27" s="7" t="s">
        <v>99</v>
      </c>
      <c r="F27" s="7" t="s">
        <v>114</v>
      </c>
      <c r="G27" s="7" t="s">
        <v>107</v>
      </c>
      <c r="H27" s="7" t="s">
        <v>115</v>
      </c>
      <c r="I27" s="13" t="s">
        <v>109</v>
      </c>
      <c r="J27" s="3" t="s">
        <v>116</v>
      </c>
      <c r="K27" s="10" t="s">
        <v>76</v>
      </c>
      <c r="L27" s="10"/>
      <c r="M27" s="7" t="s">
        <v>117</v>
      </c>
    </row>
    <row r="28" customFormat="false" ht="15" hidden="false" customHeight="false" outlineLevel="0" collapsed="false">
      <c r="A28" s="7" t="s">
        <v>23</v>
      </c>
      <c r="B28" s="7" t="s">
        <v>124</v>
      </c>
      <c r="C28" s="8"/>
      <c r="D28" s="3" t="s">
        <v>178</v>
      </c>
      <c r="E28" s="7" t="s">
        <v>99</v>
      </c>
      <c r="F28" s="7" t="s">
        <v>179</v>
      </c>
      <c r="G28" s="7" t="s">
        <v>127</v>
      </c>
      <c r="H28" s="7" t="s">
        <v>128</v>
      </c>
      <c r="I28" s="13" t="s">
        <v>109</v>
      </c>
      <c r="J28" s="3" t="s">
        <v>180</v>
      </c>
      <c r="K28" s="10" t="s">
        <v>76</v>
      </c>
      <c r="L28" s="10"/>
      <c r="M28" s="7"/>
    </row>
    <row r="29" customFormat="false" ht="15" hidden="false" customHeight="false" outlineLevel="0" collapsed="false">
      <c r="A29" s="7" t="s">
        <v>23</v>
      </c>
      <c r="B29" s="7" t="s">
        <v>124</v>
      </c>
      <c r="C29" s="8"/>
      <c r="D29" s="3" t="s">
        <v>181</v>
      </c>
      <c r="E29" s="7" t="s">
        <v>99</v>
      </c>
      <c r="F29" s="7" t="s">
        <v>138</v>
      </c>
      <c r="G29" s="7" t="s">
        <v>107</v>
      </c>
      <c r="H29" s="7" t="s">
        <v>182</v>
      </c>
      <c r="I29" s="13" t="s">
        <v>109</v>
      </c>
      <c r="J29" s="3" t="s">
        <v>183</v>
      </c>
      <c r="K29" s="10" t="s">
        <v>76</v>
      </c>
      <c r="L29" s="10"/>
      <c r="M29" s="7"/>
    </row>
    <row r="30" customFormat="false" ht="15" hidden="false" customHeight="false" outlineLevel="0" collapsed="false">
      <c r="A30" s="7" t="s">
        <v>23</v>
      </c>
      <c r="B30" s="7" t="s">
        <v>68</v>
      </c>
      <c r="C30" s="8"/>
      <c r="D30" s="3" t="s">
        <v>184</v>
      </c>
      <c r="E30" s="7" t="s">
        <v>99</v>
      </c>
      <c r="F30" s="7" t="s">
        <v>185</v>
      </c>
      <c r="G30" s="7" t="s">
        <v>186</v>
      </c>
      <c r="H30" s="7" t="s">
        <v>187</v>
      </c>
      <c r="I30" s="12" t="s">
        <v>95</v>
      </c>
      <c r="J30" s="3" t="s">
        <v>188</v>
      </c>
      <c r="K30" s="10" t="s">
        <v>76</v>
      </c>
      <c r="L30" s="10"/>
      <c r="M30" s="7" t="s">
        <v>117</v>
      </c>
    </row>
    <row r="31" customFormat="false" ht="15" hidden="false" customHeight="false" outlineLevel="0" collapsed="false">
      <c r="A31" s="7" t="s">
        <v>23</v>
      </c>
      <c r="B31" s="7" t="s">
        <v>141</v>
      </c>
      <c r="C31" s="8"/>
      <c r="D31" s="3" t="s">
        <v>142</v>
      </c>
      <c r="E31" s="7" t="s">
        <v>143</v>
      </c>
      <c r="F31" s="7" t="s">
        <v>144</v>
      </c>
      <c r="G31" s="7" t="s">
        <v>72</v>
      </c>
      <c r="H31" s="7" t="s">
        <v>145</v>
      </c>
      <c r="I31" s="12" t="s">
        <v>95</v>
      </c>
      <c r="J31" s="3" t="s">
        <v>146</v>
      </c>
      <c r="K31" s="10" t="s">
        <v>76</v>
      </c>
      <c r="L31" s="10"/>
      <c r="M31" s="7" t="s">
        <v>77</v>
      </c>
    </row>
    <row r="32" customFormat="false" ht="15" hidden="false" customHeight="false" outlineLevel="0" collapsed="false">
      <c r="A32" s="7" t="s">
        <v>23</v>
      </c>
      <c r="B32" s="7" t="s">
        <v>141</v>
      </c>
      <c r="C32" s="8"/>
      <c r="D32" s="3" t="s">
        <v>147</v>
      </c>
      <c r="E32" s="7" t="s">
        <v>148</v>
      </c>
      <c r="F32" s="7" t="s">
        <v>71</v>
      </c>
      <c r="G32" s="7" t="s">
        <v>72</v>
      </c>
      <c r="H32" s="7" t="s">
        <v>149</v>
      </c>
      <c r="I32" s="13" t="s">
        <v>109</v>
      </c>
      <c r="J32" s="3" t="s">
        <v>150</v>
      </c>
      <c r="K32" s="10" t="s">
        <v>76</v>
      </c>
      <c r="L32" s="10"/>
      <c r="M32" s="7" t="s">
        <v>77</v>
      </c>
    </row>
    <row r="33" customFormat="false" ht="15" hidden="false" customHeight="false" outlineLevel="0" collapsed="false">
      <c r="A33" s="7" t="s">
        <v>23</v>
      </c>
      <c r="B33" s="7" t="s">
        <v>104</v>
      </c>
      <c r="C33" s="8"/>
      <c r="D33" s="3" t="s">
        <v>151</v>
      </c>
      <c r="E33" s="7" t="s">
        <v>152</v>
      </c>
      <c r="F33" s="7" t="s">
        <v>153</v>
      </c>
      <c r="G33" s="7" t="s">
        <v>72</v>
      </c>
      <c r="H33" s="7" t="s">
        <v>149</v>
      </c>
      <c r="I33" s="11" t="s">
        <v>88</v>
      </c>
      <c r="J33" s="3" t="s">
        <v>154</v>
      </c>
      <c r="K33" s="10" t="s">
        <v>76</v>
      </c>
      <c r="L33" s="10"/>
      <c r="M33" s="7" t="s">
        <v>77</v>
      </c>
    </row>
    <row r="34" customFormat="false" ht="15" hidden="false" customHeight="false" outlineLevel="0" collapsed="false">
      <c r="A34" s="7" t="s">
        <v>23</v>
      </c>
      <c r="B34" s="7" t="s">
        <v>131</v>
      </c>
      <c r="C34" s="8"/>
      <c r="D34" s="3" t="s">
        <v>155</v>
      </c>
      <c r="E34" s="7" t="s">
        <v>143</v>
      </c>
      <c r="F34" s="7" t="s">
        <v>156</v>
      </c>
      <c r="G34" s="7" t="s">
        <v>72</v>
      </c>
      <c r="H34" s="7" t="s">
        <v>145</v>
      </c>
      <c r="I34" s="12" t="s">
        <v>95</v>
      </c>
      <c r="J34" s="3" t="s">
        <v>157</v>
      </c>
      <c r="K34" s="10" t="s">
        <v>76</v>
      </c>
      <c r="L34" s="10"/>
      <c r="M34" s="7" t="s">
        <v>77</v>
      </c>
    </row>
    <row r="35" customFormat="false" ht="15" hidden="false" customHeight="false" outlineLevel="0" collapsed="false">
      <c r="A35" s="7" t="s">
        <v>23</v>
      </c>
      <c r="B35" s="7" t="s">
        <v>131</v>
      </c>
      <c r="C35" s="8"/>
      <c r="D35" s="3" t="s">
        <v>158</v>
      </c>
      <c r="E35" s="7" t="s">
        <v>148</v>
      </c>
      <c r="F35" s="7" t="s">
        <v>159</v>
      </c>
      <c r="G35" s="7" t="s">
        <v>72</v>
      </c>
      <c r="H35" s="7" t="s">
        <v>149</v>
      </c>
      <c r="I35" s="12" t="s">
        <v>95</v>
      </c>
      <c r="J35" s="3" t="s">
        <v>160</v>
      </c>
      <c r="K35" s="10" t="s">
        <v>76</v>
      </c>
      <c r="L35" s="10"/>
      <c r="M35" s="7" t="s">
        <v>77</v>
      </c>
    </row>
    <row r="36" customFormat="false" ht="15" hidden="false" customHeight="false" outlineLevel="0" collapsed="false">
      <c r="A36" s="7" t="s">
        <v>23</v>
      </c>
      <c r="B36" s="7" t="s">
        <v>161</v>
      </c>
      <c r="C36" s="8"/>
      <c r="D36" s="3" t="s">
        <v>162</v>
      </c>
      <c r="E36" s="7" t="s">
        <v>163</v>
      </c>
      <c r="F36" s="7" t="s">
        <v>164</v>
      </c>
      <c r="G36" s="7" t="s">
        <v>72</v>
      </c>
      <c r="H36" s="7" t="s">
        <v>165</v>
      </c>
      <c r="I36" s="11" t="s">
        <v>88</v>
      </c>
      <c r="J36" s="3" t="s">
        <v>166</v>
      </c>
      <c r="K36" s="10" t="s">
        <v>76</v>
      </c>
      <c r="L36" s="10"/>
      <c r="M36" s="7" t="s">
        <v>77</v>
      </c>
    </row>
    <row r="37" customFormat="false" ht="15" hidden="false" customHeight="false" outlineLevel="0" collapsed="false">
      <c r="A37" s="7" t="s">
        <v>23</v>
      </c>
      <c r="B37" s="7" t="s">
        <v>68</v>
      </c>
      <c r="C37" s="8"/>
      <c r="D37" s="3" t="s">
        <v>167</v>
      </c>
      <c r="E37" s="7" t="s">
        <v>143</v>
      </c>
      <c r="F37" s="7" t="s">
        <v>168</v>
      </c>
      <c r="G37" s="7" t="s">
        <v>107</v>
      </c>
      <c r="H37" s="7" t="s">
        <v>145</v>
      </c>
      <c r="I37" s="13" t="s">
        <v>109</v>
      </c>
      <c r="J37" s="3" t="s">
        <v>189</v>
      </c>
      <c r="K37" s="10" t="s">
        <v>76</v>
      </c>
      <c r="L37" s="10"/>
      <c r="M37" s="7" t="s">
        <v>170</v>
      </c>
    </row>
    <row r="38" customFormat="false" ht="15" hidden="false" customHeight="false" outlineLevel="0" collapsed="false">
      <c r="A38" s="7" t="s">
        <v>23</v>
      </c>
      <c r="B38" s="7" t="s">
        <v>68</v>
      </c>
      <c r="C38" s="8"/>
      <c r="D38" s="3" t="s">
        <v>69</v>
      </c>
      <c r="E38" s="7" t="s">
        <v>70</v>
      </c>
      <c r="F38" s="7" t="s">
        <v>71</v>
      </c>
      <c r="G38" s="7" t="s">
        <v>72</v>
      </c>
      <c r="H38" s="7" t="s">
        <v>73</v>
      </c>
      <c r="I38" s="12" t="s">
        <v>95</v>
      </c>
      <c r="J38" s="3" t="s">
        <v>171</v>
      </c>
      <c r="K38" s="10" t="s">
        <v>76</v>
      </c>
      <c r="L38" s="10"/>
      <c r="M38" s="7" t="s">
        <v>77</v>
      </c>
    </row>
    <row r="39" customFormat="false" ht="15" hidden="false" customHeight="false" outlineLevel="0" collapsed="false">
      <c r="A39" s="7" t="s">
        <v>23</v>
      </c>
      <c r="B39" s="7" t="s">
        <v>68</v>
      </c>
      <c r="C39" s="8"/>
      <c r="D39" s="3" t="s">
        <v>78</v>
      </c>
      <c r="E39" s="7" t="s">
        <v>70</v>
      </c>
      <c r="F39" s="7" t="s">
        <v>79</v>
      </c>
      <c r="G39" s="7" t="s">
        <v>72</v>
      </c>
      <c r="H39" s="7" t="s">
        <v>80</v>
      </c>
      <c r="I39" s="11" t="s">
        <v>88</v>
      </c>
      <c r="J39" s="3" t="s">
        <v>172</v>
      </c>
      <c r="K39" s="10" t="s">
        <v>76</v>
      </c>
      <c r="L39" s="10"/>
      <c r="M39" s="7" t="s">
        <v>77</v>
      </c>
    </row>
    <row r="40" customFormat="false" ht="15" hidden="false" customHeight="false" outlineLevel="0" collapsed="false">
      <c r="A40" s="7" t="s">
        <v>23</v>
      </c>
      <c r="B40" s="7" t="s">
        <v>81</v>
      </c>
      <c r="C40" s="8"/>
      <c r="D40" s="3" t="s">
        <v>173</v>
      </c>
      <c r="E40" s="7" t="s">
        <v>70</v>
      </c>
      <c r="F40" s="7" t="s">
        <v>71</v>
      </c>
      <c r="G40" s="7" t="s">
        <v>72</v>
      </c>
      <c r="H40" s="7" t="s">
        <v>83</v>
      </c>
      <c r="I40" s="12" t="s">
        <v>95</v>
      </c>
      <c r="J40" s="3" t="s">
        <v>174</v>
      </c>
      <c r="K40" s="10" t="s">
        <v>76</v>
      </c>
      <c r="L40" s="10"/>
      <c r="M40" s="7" t="s">
        <v>77</v>
      </c>
    </row>
    <row r="41" customFormat="false" ht="15" hidden="false" customHeight="false" outlineLevel="0" collapsed="false">
      <c r="A41" s="7" t="s">
        <v>23</v>
      </c>
      <c r="B41" s="7" t="s">
        <v>85</v>
      </c>
      <c r="C41" s="8"/>
      <c r="D41" s="3" t="s">
        <v>175</v>
      </c>
      <c r="E41" s="7" t="s">
        <v>70</v>
      </c>
      <c r="F41" s="7" t="s">
        <v>176</v>
      </c>
      <c r="G41" s="7" t="s">
        <v>72</v>
      </c>
      <c r="H41" s="7" t="s">
        <v>73</v>
      </c>
      <c r="I41" s="12" t="s">
        <v>95</v>
      </c>
      <c r="J41" s="3" t="s">
        <v>177</v>
      </c>
      <c r="K41" s="10" t="s">
        <v>76</v>
      </c>
      <c r="L41" s="10"/>
      <c r="M41" s="7"/>
    </row>
    <row r="42" customFormat="false" ht="15" hidden="false" customHeight="false" outlineLevel="0" collapsed="false">
      <c r="A42" s="7" t="s">
        <v>30</v>
      </c>
      <c r="B42" s="7" t="s">
        <v>97</v>
      </c>
      <c r="C42" s="8"/>
      <c r="D42" s="3" t="s">
        <v>98</v>
      </c>
      <c r="E42" s="7" t="s">
        <v>99</v>
      </c>
      <c r="F42" s="7" t="s">
        <v>100</v>
      </c>
      <c r="G42" s="7" t="s">
        <v>72</v>
      </c>
      <c r="H42" s="7" t="s">
        <v>101</v>
      </c>
      <c r="I42" s="12" t="s">
        <v>95</v>
      </c>
      <c r="J42" s="3" t="s">
        <v>102</v>
      </c>
      <c r="K42" s="10" t="s">
        <v>76</v>
      </c>
      <c r="L42" s="10"/>
      <c r="M42" s="7" t="s">
        <v>103</v>
      </c>
    </row>
    <row r="43" customFormat="false" ht="15" hidden="false" customHeight="false" outlineLevel="0" collapsed="false">
      <c r="A43" s="7" t="s">
        <v>30</v>
      </c>
      <c r="B43" s="7" t="s">
        <v>104</v>
      </c>
      <c r="C43" s="8"/>
      <c r="D43" s="3" t="s">
        <v>105</v>
      </c>
      <c r="E43" s="7" t="s">
        <v>99</v>
      </c>
      <c r="F43" s="7" t="s">
        <v>106</v>
      </c>
      <c r="G43" s="7" t="s">
        <v>107</v>
      </c>
      <c r="H43" s="7" t="s">
        <v>108</v>
      </c>
      <c r="I43" s="13" t="s">
        <v>109</v>
      </c>
      <c r="J43" s="3" t="s">
        <v>110</v>
      </c>
      <c r="K43" s="10" t="s">
        <v>76</v>
      </c>
      <c r="L43" s="10"/>
      <c r="M43" s="7" t="s">
        <v>111</v>
      </c>
    </row>
    <row r="44" customFormat="false" ht="15" hidden="false" customHeight="false" outlineLevel="0" collapsed="false">
      <c r="A44" s="7" t="s">
        <v>30</v>
      </c>
      <c r="B44" s="7" t="s">
        <v>112</v>
      </c>
      <c r="C44" s="8"/>
      <c r="D44" s="3" t="s">
        <v>113</v>
      </c>
      <c r="E44" s="7" t="s">
        <v>99</v>
      </c>
      <c r="F44" s="7" t="s">
        <v>114</v>
      </c>
      <c r="G44" s="7" t="s">
        <v>107</v>
      </c>
      <c r="H44" s="7" t="s">
        <v>115</v>
      </c>
      <c r="I44" s="12" t="s">
        <v>95</v>
      </c>
      <c r="J44" s="3" t="s">
        <v>116</v>
      </c>
      <c r="K44" s="10" t="s">
        <v>76</v>
      </c>
      <c r="L44" s="10"/>
      <c r="M44" s="7" t="s">
        <v>117</v>
      </c>
    </row>
    <row r="45" customFormat="false" ht="15" hidden="false" customHeight="false" outlineLevel="0" collapsed="false">
      <c r="A45" s="7" t="s">
        <v>30</v>
      </c>
      <c r="B45" s="7" t="s">
        <v>124</v>
      </c>
      <c r="C45" s="8"/>
      <c r="D45" s="3" t="s">
        <v>190</v>
      </c>
      <c r="E45" s="7" t="s">
        <v>99</v>
      </c>
      <c r="F45" s="7" t="s">
        <v>191</v>
      </c>
      <c r="G45" s="7" t="s">
        <v>192</v>
      </c>
      <c r="H45" s="7" t="s">
        <v>193</v>
      </c>
      <c r="I45" s="15" t="s">
        <v>194</v>
      </c>
      <c r="J45" s="3" t="s">
        <v>3</v>
      </c>
      <c r="K45" s="10" t="s">
        <v>76</v>
      </c>
      <c r="L45" s="10"/>
      <c r="M45" s="7" t="s">
        <v>195</v>
      </c>
    </row>
    <row r="46" customFormat="false" ht="26.85" hidden="false" customHeight="false" outlineLevel="0" collapsed="false">
      <c r="A46" s="7" t="s">
        <v>30</v>
      </c>
      <c r="B46" s="7" t="s">
        <v>112</v>
      </c>
      <c r="C46" s="8"/>
      <c r="D46" s="3" t="s">
        <v>196</v>
      </c>
      <c r="E46" s="7" t="s">
        <v>99</v>
      </c>
      <c r="F46" s="7" t="s">
        <v>197</v>
      </c>
      <c r="G46" s="7" t="s">
        <v>198</v>
      </c>
      <c r="H46" s="7" t="s">
        <v>199</v>
      </c>
      <c r="I46" s="13" t="s">
        <v>109</v>
      </c>
      <c r="J46" s="3" t="s">
        <v>200</v>
      </c>
      <c r="K46" s="10" t="s">
        <v>76</v>
      </c>
      <c r="L46" s="10"/>
      <c r="M46" s="7" t="s">
        <v>201</v>
      </c>
    </row>
    <row r="47" customFormat="false" ht="15" hidden="false" customHeight="false" outlineLevel="0" collapsed="false">
      <c r="A47" s="7" t="s">
        <v>30</v>
      </c>
      <c r="B47" s="7" t="s">
        <v>141</v>
      </c>
      <c r="C47" s="8"/>
      <c r="D47" s="3" t="s">
        <v>142</v>
      </c>
      <c r="E47" s="7" t="s">
        <v>143</v>
      </c>
      <c r="F47" s="7" t="s">
        <v>144</v>
      </c>
      <c r="G47" s="7" t="s">
        <v>72</v>
      </c>
      <c r="H47" s="7" t="s">
        <v>145</v>
      </c>
      <c r="I47" s="12" t="s">
        <v>95</v>
      </c>
      <c r="J47" s="3" t="s">
        <v>146</v>
      </c>
      <c r="K47" s="10" t="s">
        <v>76</v>
      </c>
      <c r="L47" s="10"/>
      <c r="M47" s="7" t="s">
        <v>77</v>
      </c>
    </row>
    <row r="48" customFormat="false" ht="15" hidden="false" customHeight="false" outlineLevel="0" collapsed="false">
      <c r="A48" s="7" t="s">
        <v>30</v>
      </c>
      <c r="B48" s="7" t="s">
        <v>141</v>
      </c>
      <c r="C48" s="8"/>
      <c r="D48" s="3" t="s">
        <v>147</v>
      </c>
      <c r="E48" s="7" t="s">
        <v>148</v>
      </c>
      <c r="F48" s="7" t="s">
        <v>71</v>
      </c>
      <c r="G48" s="7" t="s">
        <v>72</v>
      </c>
      <c r="H48" s="7" t="s">
        <v>149</v>
      </c>
      <c r="I48" s="12" t="s">
        <v>95</v>
      </c>
      <c r="J48" s="3" t="s">
        <v>150</v>
      </c>
      <c r="K48" s="10" t="s">
        <v>76</v>
      </c>
      <c r="L48" s="10"/>
      <c r="M48" s="7" t="s">
        <v>77</v>
      </c>
    </row>
    <row r="49" customFormat="false" ht="15" hidden="false" customHeight="false" outlineLevel="0" collapsed="false">
      <c r="A49" s="7" t="s">
        <v>30</v>
      </c>
      <c r="B49" s="7" t="s">
        <v>104</v>
      </c>
      <c r="C49" s="8"/>
      <c r="D49" s="3" t="s">
        <v>151</v>
      </c>
      <c r="E49" s="7" t="s">
        <v>152</v>
      </c>
      <c r="F49" s="7" t="s">
        <v>153</v>
      </c>
      <c r="G49" s="7" t="s">
        <v>72</v>
      </c>
      <c r="H49" s="7" t="s">
        <v>149</v>
      </c>
      <c r="I49" s="11" t="s">
        <v>88</v>
      </c>
      <c r="J49" s="3" t="s">
        <v>154</v>
      </c>
      <c r="K49" s="10" t="s">
        <v>76</v>
      </c>
      <c r="L49" s="10"/>
      <c r="M49" s="7" t="s">
        <v>77</v>
      </c>
    </row>
    <row r="50" customFormat="false" ht="15" hidden="false" customHeight="false" outlineLevel="0" collapsed="false">
      <c r="A50" s="7" t="s">
        <v>30</v>
      </c>
      <c r="B50" s="7" t="s">
        <v>131</v>
      </c>
      <c r="C50" s="8"/>
      <c r="D50" s="3" t="s">
        <v>155</v>
      </c>
      <c r="E50" s="7" t="s">
        <v>143</v>
      </c>
      <c r="F50" s="7" t="s">
        <v>156</v>
      </c>
      <c r="G50" s="7" t="s">
        <v>72</v>
      </c>
      <c r="H50" s="7" t="s">
        <v>145</v>
      </c>
      <c r="I50" s="12" t="s">
        <v>95</v>
      </c>
      <c r="J50" s="3" t="s">
        <v>157</v>
      </c>
      <c r="K50" s="10" t="s">
        <v>76</v>
      </c>
      <c r="L50" s="10"/>
      <c r="M50" s="7" t="s">
        <v>77</v>
      </c>
    </row>
    <row r="51" customFormat="false" ht="15" hidden="false" customHeight="false" outlineLevel="0" collapsed="false">
      <c r="A51" s="7" t="s">
        <v>30</v>
      </c>
      <c r="B51" s="7" t="s">
        <v>131</v>
      </c>
      <c r="C51" s="8"/>
      <c r="D51" s="3" t="s">
        <v>158</v>
      </c>
      <c r="E51" s="7" t="s">
        <v>148</v>
      </c>
      <c r="F51" s="7" t="s">
        <v>159</v>
      </c>
      <c r="G51" s="7" t="s">
        <v>72</v>
      </c>
      <c r="H51" s="7" t="s">
        <v>149</v>
      </c>
      <c r="I51" s="11" t="s">
        <v>88</v>
      </c>
      <c r="J51" s="3" t="s">
        <v>160</v>
      </c>
      <c r="K51" s="10" t="s">
        <v>76</v>
      </c>
      <c r="L51" s="10"/>
      <c r="M51" s="7" t="s">
        <v>77</v>
      </c>
    </row>
    <row r="52" customFormat="false" ht="15" hidden="false" customHeight="false" outlineLevel="0" collapsed="false">
      <c r="A52" s="7" t="s">
        <v>30</v>
      </c>
      <c r="B52" s="7" t="s">
        <v>161</v>
      </c>
      <c r="C52" s="8"/>
      <c r="D52" s="3" t="s">
        <v>162</v>
      </c>
      <c r="E52" s="7" t="s">
        <v>163</v>
      </c>
      <c r="F52" s="7" t="s">
        <v>164</v>
      </c>
      <c r="G52" s="7" t="s">
        <v>72</v>
      </c>
      <c r="H52" s="7" t="s">
        <v>165</v>
      </c>
      <c r="I52" s="11" t="s">
        <v>88</v>
      </c>
      <c r="J52" s="3" t="s">
        <v>166</v>
      </c>
      <c r="K52" s="10" t="s">
        <v>76</v>
      </c>
      <c r="L52" s="10"/>
      <c r="M52" s="7" t="s">
        <v>77</v>
      </c>
    </row>
    <row r="53" customFormat="false" ht="15" hidden="false" customHeight="false" outlineLevel="0" collapsed="false">
      <c r="A53" s="7" t="s">
        <v>30</v>
      </c>
      <c r="B53" s="7" t="s">
        <v>68</v>
      </c>
      <c r="C53" s="8"/>
      <c r="D53" s="3" t="s">
        <v>167</v>
      </c>
      <c r="E53" s="7" t="s">
        <v>143</v>
      </c>
      <c r="F53" s="7" t="s">
        <v>168</v>
      </c>
      <c r="G53" s="7" t="s">
        <v>107</v>
      </c>
      <c r="H53" s="7" t="s">
        <v>145</v>
      </c>
      <c r="I53" s="12" t="s">
        <v>95</v>
      </c>
      <c r="J53" s="3" t="s">
        <v>202</v>
      </c>
      <c r="K53" s="10" t="s">
        <v>76</v>
      </c>
      <c r="L53" s="10"/>
      <c r="M53" s="7" t="s">
        <v>170</v>
      </c>
    </row>
    <row r="54" customFormat="false" ht="15" hidden="false" customHeight="false" outlineLevel="0" collapsed="false">
      <c r="A54" s="7" t="s">
        <v>37</v>
      </c>
      <c r="B54" s="7" t="s">
        <v>97</v>
      </c>
      <c r="C54" s="8"/>
      <c r="D54" s="3" t="s">
        <v>98</v>
      </c>
      <c r="E54" s="7" t="s">
        <v>99</v>
      </c>
      <c r="F54" s="7" t="s">
        <v>100</v>
      </c>
      <c r="G54" s="7" t="s">
        <v>72</v>
      </c>
      <c r="H54" s="7" t="s">
        <v>101</v>
      </c>
      <c r="I54" s="11" t="s">
        <v>88</v>
      </c>
      <c r="J54" s="3" t="s">
        <v>102</v>
      </c>
      <c r="K54" s="10" t="s">
        <v>76</v>
      </c>
      <c r="L54" s="10"/>
      <c r="M54" s="7" t="s">
        <v>103</v>
      </c>
    </row>
    <row r="55" customFormat="false" ht="15" hidden="false" customHeight="false" outlineLevel="0" collapsed="false">
      <c r="A55" s="7" t="s">
        <v>37</v>
      </c>
      <c r="B55" s="7" t="s">
        <v>104</v>
      </c>
      <c r="C55" s="8"/>
      <c r="D55" s="3" t="s">
        <v>105</v>
      </c>
      <c r="E55" s="7" t="s">
        <v>99</v>
      </c>
      <c r="F55" s="7" t="s">
        <v>106</v>
      </c>
      <c r="G55" s="7" t="s">
        <v>107</v>
      </c>
      <c r="H55" s="7" t="s">
        <v>108</v>
      </c>
      <c r="I55" s="12" t="s">
        <v>95</v>
      </c>
      <c r="J55" s="3" t="s">
        <v>110</v>
      </c>
      <c r="K55" s="10" t="s">
        <v>76</v>
      </c>
      <c r="L55" s="10"/>
      <c r="M55" s="7" t="s">
        <v>111</v>
      </c>
    </row>
    <row r="56" customFormat="false" ht="15" hidden="false" customHeight="false" outlineLevel="0" collapsed="false">
      <c r="A56" s="7" t="s">
        <v>37</v>
      </c>
      <c r="B56" s="7" t="s">
        <v>112</v>
      </c>
      <c r="C56" s="8"/>
      <c r="D56" s="3" t="s">
        <v>113</v>
      </c>
      <c r="E56" s="7" t="s">
        <v>99</v>
      </c>
      <c r="F56" s="7" t="s">
        <v>114</v>
      </c>
      <c r="G56" s="7" t="s">
        <v>107</v>
      </c>
      <c r="H56" s="7" t="s">
        <v>115</v>
      </c>
      <c r="I56" s="13" t="s">
        <v>109</v>
      </c>
      <c r="J56" s="3" t="s">
        <v>116</v>
      </c>
      <c r="K56" s="10" t="s">
        <v>76</v>
      </c>
      <c r="L56" s="10"/>
      <c r="M56" s="7" t="s">
        <v>117</v>
      </c>
    </row>
    <row r="57" customFormat="false" ht="15" hidden="false" customHeight="false" outlineLevel="0" collapsed="false">
      <c r="A57" s="7" t="s">
        <v>37</v>
      </c>
      <c r="B57" s="7" t="s">
        <v>112</v>
      </c>
      <c r="C57" s="8"/>
      <c r="D57" s="3" t="s">
        <v>196</v>
      </c>
      <c r="E57" s="7" t="s">
        <v>99</v>
      </c>
      <c r="F57" s="7" t="s">
        <v>197</v>
      </c>
      <c r="G57" s="7" t="s">
        <v>198</v>
      </c>
      <c r="H57" s="7" t="s">
        <v>199</v>
      </c>
      <c r="I57" s="13" t="s">
        <v>109</v>
      </c>
      <c r="J57" s="3" t="s">
        <v>203</v>
      </c>
      <c r="K57" s="10" t="s">
        <v>76</v>
      </c>
      <c r="L57" s="10"/>
      <c r="M57" s="7"/>
    </row>
    <row r="58" customFormat="false" ht="15" hidden="false" customHeight="false" outlineLevel="0" collapsed="false">
      <c r="A58" s="7" t="s">
        <v>37</v>
      </c>
      <c r="B58" s="7" t="s">
        <v>141</v>
      </c>
      <c r="C58" s="8"/>
      <c r="D58" s="3" t="s">
        <v>142</v>
      </c>
      <c r="E58" s="7" t="s">
        <v>143</v>
      </c>
      <c r="F58" s="7" t="s">
        <v>144</v>
      </c>
      <c r="G58" s="7" t="s">
        <v>72</v>
      </c>
      <c r="H58" s="7" t="s">
        <v>145</v>
      </c>
      <c r="I58" s="12" t="s">
        <v>95</v>
      </c>
      <c r="J58" s="3" t="s">
        <v>204</v>
      </c>
      <c r="K58" s="10" t="s">
        <v>76</v>
      </c>
      <c r="L58" s="10"/>
      <c r="M58" s="7" t="s">
        <v>77</v>
      </c>
    </row>
    <row r="59" customFormat="false" ht="15" hidden="false" customHeight="false" outlineLevel="0" collapsed="false">
      <c r="A59" s="7" t="s">
        <v>37</v>
      </c>
      <c r="B59" s="7" t="s">
        <v>161</v>
      </c>
      <c r="C59" s="8"/>
      <c r="D59" s="3" t="s">
        <v>205</v>
      </c>
      <c r="E59" s="7" t="s">
        <v>206</v>
      </c>
      <c r="F59" s="7" t="s">
        <v>159</v>
      </c>
      <c r="G59" s="7" t="s">
        <v>72</v>
      </c>
      <c r="H59" s="7" t="s">
        <v>207</v>
      </c>
      <c r="I59" s="9" t="s">
        <v>74</v>
      </c>
      <c r="J59" s="3" t="s">
        <v>208</v>
      </c>
      <c r="K59" s="10" t="s">
        <v>76</v>
      </c>
      <c r="L59" s="10"/>
      <c r="M59" s="7" t="s">
        <v>77</v>
      </c>
    </row>
    <row r="60" customFormat="false" ht="15" hidden="false" customHeight="false" outlineLevel="0" collapsed="false">
      <c r="A60" s="7" t="s">
        <v>37</v>
      </c>
      <c r="B60" s="7" t="s">
        <v>68</v>
      </c>
      <c r="C60" s="8"/>
      <c r="D60" s="3" t="s">
        <v>167</v>
      </c>
      <c r="E60" s="7" t="s">
        <v>206</v>
      </c>
      <c r="F60" s="7" t="s">
        <v>168</v>
      </c>
      <c r="G60" s="7" t="s">
        <v>107</v>
      </c>
      <c r="H60" s="7" t="s">
        <v>207</v>
      </c>
      <c r="I60" s="13" t="s">
        <v>109</v>
      </c>
      <c r="J60" s="3" t="s">
        <v>209</v>
      </c>
      <c r="K60" s="10" t="s">
        <v>76</v>
      </c>
      <c r="L60" s="10"/>
      <c r="M60" s="7" t="s">
        <v>170</v>
      </c>
    </row>
    <row r="61" customFormat="false" ht="15" hidden="false" customHeight="false" outlineLevel="0" collapsed="false">
      <c r="A61" s="7" t="s">
        <v>37</v>
      </c>
      <c r="B61" s="7" t="s">
        <v>121</v>
      </c>
      <c r="C61" s="8"/>
      <c r="D61" s="3" t="s">
        <v>210</v>
      </c>
      <c r="E61" s="7" t="s">
        <v>211</v>
      </c>
      <c r="F61" s="7" t="s">
        <v>212</v>
      </c>
      <c r="G61" s="7" t="s">
        <v>213</v>
      </c>
      <c r="H61" s="7" t="s">
        <v>121</v>
      </c>
      <c r="I61" s="9" t="s">
        <v>74</v>
      </c>
      <c r="J61" s="3" t="s">
        <v>214</v>
      </c>
      <c r="K61" s="10" t="s">
        <v>76</v>
      </c>
      <c r="L61" s="10"/>
      <c r="M61" s="7" t="s">
        <v>215</v>
      </c>
    </row>
    <row r="62" customFormat="false" ht="15" hidden="false" customHeight="false" outlineLevel="0" collapsed="false">
      <c r="A62" s="7" t="s">
        <v>44</v>
      </c>
      <c r="B62" s="7" t="s">
        <v>97</v>
      </c>
      <c r="C62" s="8"/>
      <c r="D62" s="3" t="s">
        <v>98</v>
      </c>
      <c r="E62" s="7" t="s">
        <v>99</v>
      </c>
      <c r="F62" s="7" t="s">
        <v>100</v>
      </c>
      <c r="G62" s="7" t="s">
        <v>72</v>
      </c>
      <c r="H62" s="7" t="s">
        <v>101</v>
      </c>
      <c r="I62" s="12" t="s">
        <v>95</v>
      </c>
      <c r="J62" s="3" t="s">
        <v>102</v>
      </c>
      <c r="K62" s="10" t="s">
        <v>76</v>
      </c>
      <c r="L62" s="10"/>
      <c r="M62" s="7" t="s">
        <v>103</v>
      </c>
    </row>
    <row r="63" customFormat="false" ht="15" hidden="false" customHeight="false" outlineLevel="0" collapsed="false">
      <c r="A63" s="7" t="s">
        <v>44</v>
      </c>
      <c r="B63" s="7" t="s">
        <v>104</v>
      </c>
      <c r="C63" s="8"/>
      <c r="D63" s="3" t="s">
        <v>105</v>
      </c>
      <c r="E63" s="7" t="s">
        <v>99</v>
      </c>
      <c r="F63" s="7" t="s">
        <v>106</v>
      </c>
      <c r="G63" s="7" t="s">
        <v>107</v>
      </c>
      <c r="H63" s="7" t="s">
        <v>108</v>
      </c>
      <c r="I63" s="13" t="s">
        <v>109</v>
      </c>
      <c r="J63" s="3" t="s">
        <v>110</v>
      </c>
      <c r="K63" s="10" t="s">
        <v>76</v>
      </c>
      <c r="L63" s="10"/>
      <c r="M63" s="7" t="s">
        <v>111</v>
      </c>
    </row>
    <row r="64" customFormat="false" ht="15" hidden="false" customHeight="false" outlineLevel="0" collapsed="false">
      <c r="A64" s="7" t="s">
        <v>44</v>
      </c>
      <c r="B64" s="7" t="s">
        <v>112</v>
      </c>
      <c r="C64" s="8"/>
      <c r="D64" s="3" t="s">
        <v>113</v>
      </c>
      <c r="E64" s="7" t="s">
        <v>99</v>
      </c>
      <c r="F64" s="7" t="s">
        <v>114</v>
      </c>
      <c r="G64" s="7" t="s">
        <v>107</v>
      </c>
      <c r="H64" s="7" t="s">
        <v>115</v>
      </c>
      <c r="I64" s="13" t="s">
        <v>109</v>
      </c>
      <c r="J64" s="3" t="s">
        <v>116</v>
      </c>
      <c r="K64" s="10" t="s">
        <v>76</v>
      </c>
      <c r="L64" s="10"/>
      <c r="M64" s="7" t="s">
        <v>117</v>
      </c>
    </row>
    <row r="65" customFormat="false" ht="15" hidden="false" customHeight="false" outlineLevel="0" collapsed="false">
      <c r="A65" s="7" t="s">
        <v>44</v>
      </c>
      <c r="B65" s="7" t="s">
        <v>124</v>
      </c>
      <c r="C65" s="8"/>
      <c r="D65" s="3" t="s">
        <v>216</v>
      </c>
      <c r="E65" s="7" t="s">
        <v>99</v>
      </c>
      <c r="F65" s="7" t="s">
        <v>217</v>
      </c>
      <c r="G65" s="7" t="s">
        <v>218</v>
      </c>
      <c r="H65" s="7" t="s">
        <v>124</v>
      </c>
      <c r="I65" s="15" t="s">
        <v>194</v>
      </c>
      <c r="J65" s="3" t="s">
        <v>219</v>
      </c>
      <c r="K65" s="10" t="s">
        <v>76</v>
      </c>
      <c r="L65" s="10"/>
      <c r="M65" s="7" t="s">
        <v>220</v>
      </c>
    </row>
    <row r="66" customFormat="false" ht="15" hidden="false" customHeight="false" outlineLevel="0" collapsed="false">
      <c r="A66" s="7" t="s">
        <v>44</v>
      </c>
      <c r="B66" s="7" t="s">
        <v>112</v>
      </c>
      <c r="C66" s="8"/>
      <c r="D66" s="3" t="s">
        <v>196</v>
      </c>
      <c r="E66" s="7" t="s">
        <v>99</v>
      </c>
      <c r="F66" s="7" t="s">
        <v>197</v>
      </c>
      <c r="G66" s="7" t="s">
        <v>198</v>
      </c>
      <c r="H66" s="7" t="s">
        <v>199</v>
      </c>
      <c r="I66" s="13" t="s">
        <v>109</v>
      </c>
      <c r="J66" s="3" t="s">
        <v>221</v>
      </c>
      <c r="K66" s="10" t="s">
        <v>76</v>
      </c>
      <c r="L66" s="10"/>
      <c r="M66" s="7"/>
    </row>
    <row r="67" customFormat="false" ht="15" hidden="false" customHeight="false" outlineLevel="0" collapsed="false">
      <c r="A67" s="7" t="s">
        <v>44</v>
      </c>
      <c r="B67" s="7" t="s">
        <v>141</v>
      </c>
      <c r="C67" s="8"/>
      <c r="D67" s="3" t="s">
        <v>142</v>
      </c>
      <c r="E67" s="7" t="s">
        <v>143</v>
      </c>
      <c r="F67" s="7" t="s">
        <v>144</v>
      </c>
      <c r="G67" s="7" t="s">
        <v>72</v>
      </c>
      <c r="H67" s="7" t="s">
        <v>145</v>
      </c>
      <c r="I67" s="12" t="s">
        <v>95</v>
      </c>
      <c r="J67" s="3" t="s">
        <v>146</v>
      </c>
      <c r="K67" s="10" t="s">
        <v>76</v>
      </c>
      <c r="L67" s="10"/>
      <c r="M67" s="7" t="s">
        <v>77</v>
      </c>
    </row>
    <row r="68" customFormat="false" ht="15" hidden="false" customHeight="false" outlineLevel="0" collapsed="false">
      <c r="A68" s="7" t="s">
        <v>44</v>
      </c>
      <c r="B68" s="7" t="s">
        <v>141</v>
      </c>
      <c r="C68" s="8"/>
      <c r="D68" s="3" t="s">
        <v>147</v>
      </c>
      <c r="E68" s="7" t="s">
        <v>148</v>
      </c>
      <c r="F68" s="7" t="s">
        <v>71</v>
      </c>
      <c r="G68" s="7" t="s">
        <v>72</v>
      </c>
      <c r="H68" s="7" t="s">
        <v>149</v>
      </c>
      <c r="I68" s="12" t="s">
        <v>95</v>
      </c>
      <c r="J68" s="3" t="s">
        <v>150</v>
      </c>
      <c r="K68" s="10" t="s">
        <v>76</v>
      </c>
      <c r="L68" s="10"/>
      <c r="M68" s="7" t="s">
        <v>77</v>
      </c>
    </row>
    <row r="69" customFormat="false" ht="15" hidden="false" customHeight="false" outlineLevel="0" collapsed="false">
      <c r="A69" s="7" t="s">
        <v>44</v>
      </c>
      <c r="B69" s="7" t="s">
        <v>104</v>
      </c>
      <c r="C69" s="8"/>
      <c r="D69" s="3" t="s">
        <v>151</v>
      </c>
      <c r="E69" s="7" t="s">
        <v>152</v>
      </c>
      <c r="F69" s="7" t="s">
        <v>153</v>
      </c>
      <c r="G69" s="7" t="s">
        <v>72</v>
      </c>
      <c r="H69" s="7" t="s">
        <v>149</v>
      </c>
      <c r="I69" s="11" t="s">
        <v>88</v>
      </c>
      <c r="J69" s="3" t="s">
        <v>154</v>
      </c>
      <c r="K69" s="10" t="s">
        <v>76</v>
      </c>
      <c r="L69" s="10"/>
      <c r="M69" s="7" t="s">
        <v>77</v>
      </c>
    </row>
    <row r="70" customFormat="false" ht="15" hidden="false" customHeight="false" outlineLevel="0" collapsed="false">
      <c r="A70" s="7" t="s">
        <v>44</v>
      </c>
      <c r="B70" s="7" t="s">
        <v>131</v>
      </c>
      <c r="C70" s="8"/>
      <c r="D70" s="3" t="s">
        <v>155</v>
      </c>
      <c r="E70" s="7" t="s">
        <v>143</v>
      </c>
      <c r="F70" s="7" t="s">
        <v>156</v>
      </c>
      <c r="G70" s="7" t="s">
        <v>72</v>
      </c>
      <c r="H70" s="7" t="s">
        <v>145</v>
      </c>
      <c r="I70" s="12" t="s">
        <v>95</v>
      </c>
      <c r="J70" s="3" t="s">
        <v>157</v>
      </c>
      <c r="K70" s="10" t="s">
        <v>76</v>
      </c>
      <c r="L70" s="10"/>
      <c r="M70" s="7" t="s">
        <v>77</v>
      </c>
    </row>
    <row r="71" customFormat="false" ht="15" hidden="false" customHeight="false" outlineLevel="0" collapsed="false">
      <c r="A71" s="7" t="s">
        <v>44</v>
      </c>
      <c r="B71" s="7" t="s">
        <v>131</v>
      </c>
      <c r="C71" s="8"/>
      <c r="D71" s="3" t="s">
        <v>158</v>
      </c>
      <c r="E71" s="7" t="s">
        <v>148</v>
      </c>
      <c r="F71" s="7" t="s">
        <v>159</v>
      </c>
      <c r="G71" s="7" t="s">
        <v>72</v>
      </c>
      <c r="H71" s="7" t="s">
        <v>149</v>
      </c>
      <c r="I71" s="11" t="s">
        <v>88</v>
      </c>
      <c r="J71" s="3" t="s">
        <v>160</v>
      </c>
      <c r="K71" s="10" t="s">
        <v>76</v>
      </c>
      <c r="L71" s="10"/>
      <c r="M71" s="7" t="s">
        <v>77</v>
      </c>
    </row>
    <row r="72" customFormat="false" ht="15" hidden="false" customHeight="false" outlineLevel="0" collapsed="false">
      <c r="A72" s="7" t="s">
        <v>44</v>
      </c>
      <c r="B72" s="7" t="s">
        <v>161</v>
      </c>
      <c r="C72" s="8"/>
      <c r="D72" s="3" t="s">
        <v>162</v>
      </c>
      <c r="E72" s="7" t="s">
        <v>163</v>
      </c>
      <c r="F72" s="7" t="s">
        <v>164</v>
      </c>
      <c r="G72" s="7" t="s">
        <v>72</v>
      </c>
      <c r="H72" s="7" t="s">
        <v>165</v>
      </c>
      <c r="I72" s="11" t="s">
        <v>88</v>
      </c>
      <c r="J72" s="3" t="s">
        <v>166</v>
      </c>
      <c r="K72" s="10" t="s">
        <v>76</v>
      </c>
      <c r="L72" s="10"/>
      <c r="M72" s="7" t="s">
        <v>77</v>
      </c>
    </row>
    <row r="73" customFormat="false" ht="15" hidden="false" customHeight="false" outlineLevel="0" collapsed="false">
      <c r="A73" s="7" t="s">
        <v>44</v>
      </c>
      <c r="B73" s="7" t="s">
        <v>68</v>
      </c>
      <c r="C73" s="8"/>
      <c r="D73" s="3" t="s">
        <v>167</v>
      </c>
      <c r="E73" s="7" t="s">
        <v>206</v>
      </c>
      <c r="F73" s="7" t="s">
        <v>168</v>
      </c>
      <c r="G73" s="7" t="s">
        <v>107</v>
      </c>
      <c r="H73" s="7" t="s">
        <v>207</v>
      </c>
      <c r="I73" s="12" t="s">
        <v>95</v>
      </c>
      <c r="J73" s="3" t="s">
        <v>222</v>
      </c>
      <c r="K73" s="10" t="s">
        <v>76</v>
      </c>
      <c r="L73" s="10"/>
      <c r="M73" s="7" t="s">
        <v>170</v>
      </c>
    </row>
  </sheetData>
  <autoFilter ref="A1:M73"/>
  <dataValidations count="2">
    <dataValidation allowBlank="true" errorStyle="stop" operator="between" showDropDown="false" showErrorMessage="false" showInputMessage="false" sqref="K2:K73" type="list">
      <formula1>"Planned,Entered,Done,Skipped,Injured"</formula1>
      <formula2>0</formula2>
    </dataValidation>
    <dataValidation allowBlank="true" errorStyle="stop" operator="between" showDropDown="false" showErrorMessage="false" showInputMessage="false" sqref="I2:I73" type="list">
      <formula1>"A+,A,B,C,Skip,Must 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</cols>
  <sheetData>
    <row r="1" customFormat="false" ht="15" hidden="false" customHeight="false" outlineLevel="0" collapsed="false">
      <c r="A1" s="16" t="s">
        <v>60</v>
      </c>
      <c r="B1" s="16" t="s">
        <v>9</v>
      </c>
      <c r="C1" s="16" t="s">
        <v>16</v>
      </c>
      <c r="D1" s="16" t="s">
        <v>23</v>
      </c>
      <c r="E1" s="16" t="s">
        <v>30</v>
      </c>
      <c r="F1" s="16" t="s">
        <v>37</v>
      </c>
      <c r="G1" s="16" t="s">
        <v>44</v>
      </c>
      <c r="H1" s="16" t="s">
        <v>223</v>
      </c>
    </row>
    <row r="2" customFormat="false" ht="15" hidden="false" customHeight="false" outlineLevel="0" collapsed="false">
      <c r="A2" s="6" t="s">
        <v>120</v>
      </c>
      <c r="B2" s="6" t="n">
        <f aca="false">COUNTIFS('Race Calendar'!$E$2:$E$73,$A2,'Race Calendar'!$A$2:$A$73,B$1,'Race Calendar'!$I$2:$I$73,"&lt;&gt;Skip")</f>
        <v>0</v>
      </c>
      <c r="C2" s="6" t="n">
        <f aca="false">COUNTIFS('Race Calendar'!$E$2:$E$73,$A2,'Race Calendar'!$A$2:$A$73,C$1,'Race Calendar'!$I$2:$I$73,"&lt;&gt;Skip")</f>
        <v>1</v>
      </c>
      <c r="D2" s="6" t="n">
        <f aca="false">COUNTIFS('Race Calendar'!$E$2:$E$73,$A2,'Race Calendar'!$A$2:$A$73,D$1,'Race Calendar'!$I$2:$I$73,"&lt;&gt;Skip")</f>
        <v>0</v>
      </c>
      <c r="E2" s="6" t="n">
        <f aca="false">COUNTIFS('Race Calendar'!$E$2:$E$73,$A2,'Race Calendar'!$A$2:$A$73,E$1,'Race Calendar'!$I$2:$I$73,"&lt;&gt;Skip")</f>
        <v>0</v>
      </c>
      <c r="F2" s="6" t="n">
        <f aca="false">COUNTIFS('Race Calendar'!$E$2:$E$73,$A2,'Race Calendar'!$A$2:$A$73,F$1,'Race Calendar'!$I$2:$I$73,"&lt;&gt;Skip")</f>
        <v>0</v>
      </c>
      <c r="G2" s="6" t="n">
        <f aca="false">COUNTIFS('Race Calendar'!$E$2:$E$73,$A2,'Race Calendar'!$A$2:$A$73,G$1,'Race Calendar'!$I$2:$I$73,"&lt;&gt;Skip")</f>
        <v>0</v>
      </c>
      <c r="H2" s="6" t="n">
        <f aca="false">SUM(B2:G2)</f>
        <v>1</v>
      </c>
    </row>
    <row r="3" customFormat="false" ht="15" hidden="false" customHeight="false" outlineLevel="0" collapsed="false">
      <c r="A3" s="6" t="s">
        <v>152</v>
      </c>
      <c r="B3" s="6" t="n">
        <f aca="false">COUNTIFS('Race Calendar'!$E$2:$E$73,$A3,'Race Calendar'!$A$2:$A$73,B$1,'Race Calendar'!$I$2:$I$73,"&lt;&gt;Skip")</f>
        <v>0</v>
      </c>
      <c r="C3" s="6" t="n">
        <f aca="false">COUNTIFS('Race Calendar'!$E$2:$E$73,$A3,'Race Calendar'!$A$2:$A$73,C$1,'Race Calendar'!$I$2:$I$73,"&lt;&gt;Skip")</f>
        <v>1</v>
      </c>
      <c r="D3" s="6" t="n">
        <f aca="false">COUNTIFS('Race Calendar'!$E$2:$E$73,$A3,'Race Calendar'!$A$2:$A$73,D$1,'Race Calendar'!$I$2:$I$73,"&lt;&gt;Skip")</f>
        <v>1</v>
      </c>
      <c r="E3" s="6" t="n">
        <f aca="false">COUNTIFS('Race Calendar'!$E$2:$E$73,$A3,'Race Calendar'!$A$2:$A$73,E$1,'Race Calendar'!$I$2:$I$73,"&lt;&gt;Skip")</f>
        <v>1</v>
      </c>
      <c r="F3" s="6" t="n">
        <f aca="false">COUNTIFS('Race Calendar'!$E$2:$E$73,$A3,'Race Calendar'!$A$2:$A$73,F$1,'Race Calendar'!$I$2:$I$73,"&lt;&gt;Skip")</f>
        <v>0</v>
      </c>
      <c r="G3" s="6" t="n">
        <f aca="false">COUNTIFS('Race Calendar'!$E$2:$E$73,$A3,'Race Calendar'!$A$2:$A$73,G$1,'Race Calendar'!$I$2:$I$73,"&lt;&gt;Skip")</f>
        <v>1</v>
      </c>
      <c r="H3" s="6" t="n">
        <f aca="false">SUM(B3:G3)</f>
        <v>4</v>
      </c>
    </row>
    <row r="4" customFormat="false" ht="15" hidden="false" customHeight="false" outlineLevel="0" collapsed="false">
      <c r="A4" s="6" t="s">
        <v>92</v>
      </c>
      <c r="B4" s="6" t="n">
        <f aca="false">COUNTIFS('Race Calendar'!$E$2:$E$73,$A4,'Race Calendar'!$A$2:$A$73,B$1,'Race Calendar'!$I$2:$I$73,"&lt;&gt;Skip")</f>
        <v>1</v>
      </c>
      <c r="C4" s="6" t="n">
        <f aca="false">COUNTIFS('Race Calendar'!$E$2:$E$73,$A4,'Race Calendar'!$A$2:$A$73,C$1,'Race Calendar'!$I$2:$I$73,"&lt;&gt;Skip")</f>
        <v>0</v>
      </c>
      <c r="D4" s="6" t="n">
        <f aca="false">COUNTIFS('Race Calendar'!$E$2:$E$73,$A4,'Race Calendar'!$A$2:$A$73,D$1,'Race Calendar'!$I$2:$I$73,"&lt;&gt;Skip")</f>
        <v>0</v>
      </c>
      <c r="E4" s="6" t="n">
        <f aca="false">COUNTIFS('Race Calendar'!$E$2:$E$73,$A4,'Race Calendar'!$A$2:$A$73,E$1,'Race Calendar'!$I$2:$I$73,"&lt;&gt;Skip")</f>
        <v>0</v>
      </c>
      <c r="F4" s="6" t="n">
        <f aca="false">COUNTIFS('Race Calendar'!$E$2:$E$73,$A4,'Race Calendar'!$A$2:$A$73,F$1,'Race Calendar'!$I$2:$I$73,"&lt;&gt;Skip")</f>
        <v>0</v>
      </c>
      <c r="G4" s="6" t="n">
        <f aca="false">COUNTIFS('Race Calendar'!$E$2:$E$73,$A4,'Race Calendar'!$A$2:$A$73,G$1,'Race Calendar'!$I$2:$I$73,"&lt;&gt;Skip")</f>
        <v>0</v>
      </c>
      <c r="H4" s="6" t="n">
        <f aca="false">SUM(B4:G4)</f>
        <v>1</v>
      </c>
    </row>
    <row r="5" customFormat="false" ht="15" hidden="false" customHeight="false" outlineLevel="0" collapsed="false">
      <c r="A5" s="6" t="s">
        <v>99</v>
      </c>
      <c r="B5" s="6" t="n">
        <f aca="false">COUNTIFS('Race Calendar'!$E$2:$E$73,$A5,'Race Calendar'!$A$2:$A$73,B$1,'Race Calendar'!$I$2:$I$73,"&lt;&gt;Skip")</f>
        <v>0</v>
      </c>
      <c r="C5" s="6" t="n">
        <f aca="false">COUNTIFS('Race Calendar'!$E$2:$E$73,$A5,'Race Calendar'!$A$2:$A$73,C$1,'Race Calendar'!$I$2:$I$73,"&lt;&gt;Skip")</f>
        <v>6</v>
      </c>
      <c r="D5" s="6" t="n">
        <f aca="false">COUNTIFS('Race Calendar'!$E$2:$E$73,$A5,'Race Calendar'!$A$2:$A$73,D$1,'Race Calendar'!$I$2:$I$73,"&lt;&gt;Skip")</f>
        <v>6</v>
      </c>
      <c r="E5" s="6" t="n">
        <f aca="false">COUNTIFS('Race Calendar'!$E$2:$E$73,$A5,'Race Calendar'!$A$2:$A$73,E$1,'Race Calendar'!$I$2:$I$73,"&lt;&gt;Skip")</f>
        <v>5</v>
      </c>
      <c r="F5" s="6" t="n">
        <f aca="false">COUNTIFS('Race Calendar'!$E$2:$E$73,$A5,'Race Calendar'!$A$2:$A$73,F$1,'Race Calendar'!$I$2:$I$73,"&lt;&gt;Skip")</f>
        <v>4</v>
      </c>
      <c r="G5" s="6" t="n">
        <f aca="false">COUNTIFS('Race Calendar'!$E$2:$E$73,$A5,'Race Calendar'!$A$2:$A$73,G$1,'Race Calendar'!$I$2:$I$73,"&lt;&gt;Skip")</f>
        <v>5</v>
      </c>
      <c r="H5" s="6" t="n">
        <f aca="false">SUM(B5:G5)</f>
        <v>26</v>
      </c>
    </row>
    <row r="6" customFormat="false" ht="15" hidden="false" customHeight="false" outlineLevel="0" collapsed="false">
      <c r="A6" s="6" t="s">
        <v>143</v>
      </c>
      <c r="B6" s="6" t="n">
        <f aca="false">COUNTIFS('Race Calendar'!$E$2:$E$73,$A6,'Race Calendar'!$A$2:$A$73,B$1,'Race Calendar'!$I$2:$I$73,"&lt;&gt;Skip")</f>
        <v>0</v>
      </c>
      <c r="C6" s="6" t="n">
        <f aca="false">COUNTIFS('Race Calendar'!$E$2:$E$73,$A6,'Race Calendar'!$A$2:$A$73,C$1,'Race Calendar'!$I$2:$I$73,"&lt;&gt;Skip")</f>
        <v>3</v>
      </c>
      <c r="D6" s="6" t="n">
        <f aca="false">COUNTIFS('Race Calendar'!$E$2:$E$73,$A6,'Race Calendar'!$A$2:$A$73,D$1,'Race Calendar'!$I$2:$I$73,"&lt;&gt;Skip")</f>
        <v>3</v>
      </c>
      <c r="E6" s="6" t="n">
        <f aca="false">COUNTIFS('Race Calendar'!$E$2:$E$73,$A6,'Race Calendar'!$A$2:$A$73,E$1,'Race Calendar'!$I$2:$I$73,"&lt;&gt;Skip")</f>
        <v>3</v>
      </c>
      <c r="F6" s="6" t="n">
        <f aca="false">COUNTIFS('Race Calendar'!$E$2:$E$73,$A6,'Race Calendar'!$A$2:$A$73,F$1,'Race Calendar'!$I$2:$I$73,"&lt;&gt;Skip")</f>
        <v>1</v>
      </c>
      <c r="G6" s="6" t="n">
        <f aca="false">COUNTIFS('Race Calendar'!$E$2:$E$73,$A6,'Race Calendar'!$A$2:$A$73,G$1,'Race Calendar'!$I$2:$I$73,"&lt;&gt;Skip")</f>
        <v>2</v>
      </c>
      <c r="H6" s="6" t="n">
        <f aca="false">SUM(B6:G6)</f>
        <v>12</v>
      </c>
    </row>
    <row r="7" customFormat="false" ht="15" hidden="false" customHeight="false" outlineLevel="0" collapsed="false">
      <c r="A7" s="6" t="s">
        <v>206</v>
      </c>
      <c r="B7" s="6" t="n">
        <f aca="false">COUNTIFS('Race Calendar'!$E$2:$E$73,$A7,'Race Calendar'!$A$2:$A$73,B$1,'Race Calendar'!$I$2:$I$73,"&lt;&gt;Skip")</f>
        <v>0</v>
      </c>
      <c r="C7" s="6" t="n">
        <f aca="false">COUNTIFS('Race Calendar'!$E$2:$E$73,$A7,'Race Calendar'!$A$2:$A$73,C$1,'Race Calendar'!$I$2:$I$73,"&lt;&gt;Skip")</f>
        <v>0</v>
      </c>
      <c r="D7" s="6" t="n">
        <f aca="false">COUNTIFS('Race Calendar'!$E$2:$E$73,$A7,'Race Calendar'!$A$2:$A$73,D$1,'Race Calendar'!$I$2:$I$73,"&lt;&gt;Skip")</f>
        <v>0</v>
      </c>
      <c r="E7" s="6" t="n">
        <f aca="false">COUNTIFS('Race Calendar'!$E$2:$E$73,$A7,'Race Calendar'!$A$2:$A$73,E$1,'Race Calendar'!$I$2:$I$73,"&lt;&gt;Skip")</f>
        <v>0</v>
      </c>
      <c r="F7" s="6" t="n">
        <f aca="false">COUNTIFS('Race Calendar'!$E$2:$E$73,$A7,'Race Calendar'!$A$2:$A$73,F$1,'Race Calendar'!$I$2:$I$73,"&lt;&gt;Skip")</f>
        <v>1</v>
      </c>
      <c r="G7" s="6" t="n">
        <f aca="false">COUNTIFS('Race Calendar'!$E$2:$E$73,$A7,'Race Calendar'!$A$2:$A$73,G$1,'Race Calendar'!$I$2:$I$73,"&lt;&gt;Skip")</f>
        <v>1</v>
      </c>
      <c r="H7" s="6" t="n">
        <f aca="false">SUM(B7:G7)</f>
        <v>2</v>
      </c>
    </row>
    <row r="8" customFormat="false" ht="15" hidden="false" customHeight="false" outlineLevel="0" collapsed="false">
      <c r="A8" s="6" t="s">
        <v>211</v>
      </c>
      <c r="B8" s="6" t="n">
        <f aca="false">COUNTIFS('Race Calendar'!$E$2:$E$73,$A8,'Race Calendar'!$A$2:$A$73,B$1,'Race Calendar'!$I$2:$I$73,"&lt;&gt;Skip")</f>
        <v>0</v>
      </c>
      <c r="C8" s="6" t="n">
        <f aca="false">COUNTIFS('Race Calendar'!$E$2:$E$73,$A8,'Race Calendar'!$A$2:$A$73,C$1,'Race Calendar'!$I$2:$I$73,"&lt;&gt;Skip")</f>
        <v>0</v>
      </c>
      <c r="D8" s="6" t="n">
        <f aca="false">COUNTIFS('Race Calendar'!$E$2:$E$73,$A8,'Race Calendar'!$A$2:$A$73,D$1,'Race Calendar'!$I$2:$I$73,"&lt;&gt;Skip")</f>
        <v>0</v>
      </c>
      <c r="E8" s="6" t="n">
        <f aca="false">COUNTIFS('Race Calendar'!$E$2:$E$73,$A8,'Race Calendar'!$A$2:$A$73,E$1,'Race Calendar'!$I$2:$I$73,"&lt;&gt;Skip")</f>
        <v>0</v>
      </c>
      <c r="F8" s="6" t="n">
        <f aca="false">COUNTIFS('Race Calendar'!$E$2:$E$73,$A8,'Race Calendar'!$A$2:$A$73,F$1,'Race Calendar'!$I$2:$I$73,"&lt;&gt;Skip")</f>
        <v>0</v>
      </c>
      <c r="G8" s="6" t="n">
        <f aca="false">COUNTIFS('Race Calendar'!$E$2:$E$73,$A8,'Race Calendar'!$A$2:$A$73,G$1,'Race Calendar'!$I$2:$I$73,"&lt;&gt;Skip")</f>
        <v>0</v>
      </c>
      <c r="H8" s="6" t="n">
        <f aca="false">SUM(B8:G8)</f>
        <v>0</v>
      </c>
    </row>
    <row r="9" customFormat="false" ht="15" hidden="false" customHeight="false" outlineLevel="0" collapsed="false">
      <c r="A9" s="6" t="s">
        <v>163</v>
      </c>
      <c r="B9" s="6" t="n">
        <f aca="false">COUNTIFS('Race Calendar'!$E$2:$E$73,$A9,'Race Calendar'!$A$2:$A$73,B$1,'Race Calendar'!$I$2:$I$73,"&lt;&gt;Skip")</f>
        <v>0</v>
      </c>
      <c r="C9" s="6" t="n">
        <f aca="false">COUNTIFS('Race Calendar'!$E$2:$E$73,$A9,'Race Calendar'!$A$2:$A$73,C$1,'Race Calendar'!$I$2:$I$73,"&lt;&gt;Skip")</f>
        <v>1</v>
      </c>
      <c r="D9" s="6" t="n">
        <f aca="false">COUNTIFS('Race Calendar'!$E$2:$E$73,$A9,'Race Calendar'!$A$2:$A$73,D$1,'Race Calendar'!$I$2:$I$73,"&lt;&gt;Skip")</f>
        <v>1</v>
      </c>
      <c r="E9" s="6" t="n">
        <f aca="false">COUNTIFS('Race Calendar'!$E$2:$E$73,$A9,'Race Calendar'!$A$2:$A$73,E$1,'Race Calendar'!$I$2:$I$73,"&lt;&gt;Skip")</f>
        <v>1</v>
      </c>
      <c r="F9" s="6" t="n">
        <f aca="false">COUNTIFS('Race Calendar'!$E$2:$E$73,$A9,'Race Calendar'!$A$2:$A$73,F$1,'Race Calendar'!$I$2:$I$73,"&lt;&gt;Skip")</f>
        <v>0</v>
      </c>
      <c r="G9" s="6" t="n">
        <f aca="false">COUNTIFS('Race Calendar'!$E$2:$E$73,$A9,'Race Calendar'!$A$2:$A$73,G$1,'Race Calendar'!$I$2:$I$73,"&lt;&gt;Skip")</f>
        <v>1</v>
      </c>
      <c r="H9" s="6" t="n">
        <f aca="false">SUM(B9:G9)</f>
        <v>4</v>
      </c>
    </row>
    <row r="10" customFormat="false" ht="15" hidden="false" customHeight="false" outlineLevel="0" collapsed="false">
      <c r="A10" s="6" t="s">
        <v>148</v>
      </c>
      <c r="B10" s="6" t="n">
        <f aca="false">COUNTIFS('Race Calendar'!$E$2:$E$73,$A10,'Race Calendar'!$A$2:$A$73,B$1,'Race Calendar'!$I$2:$I$73,"&lt;&gt;Skip")</f>
        <v>0</v>
      </c>
      <c r="C10" s="6" t="n">
        <f aca="false">COUNTIFS('Race Calendar'!$E$2:$E$73,$A10,'Race Calendar'!$A$2:$A$73,C$1,'Race Calendar'!$I$2:$I$73,"&lt;&gt;Skip")</f>
        <v>2</v>
      </c>
      <c r="D10" s="6" t="n">
        <f aca="false">COUNTIFS('Race Calendar'!$E$2:$E$73,$A10,'Race Calendar'!$A$2:$A$73,D$1,'Race Calendar'!$I$2:$I$73,"&lt;&gt;Skip")</f>
        <v>2</v>
      </c>
      <c r="E10" s="6" t="n">
        <f aca="false">COUNTIFS('Race Calendar'!$E$2:$E$73,$A10,'Race Calendar'!$A$2:$A$73,E$1,'Race Calendar'!$I$2:$I$73,"&lt;&gt;Skip")</f>
        <v>2</v>
      </c>
      <c r="F10" s="6" t="n">
        <f aca="false">COUNTIFS('Race Calendar'!$E$2:$E$73,$A10,'Race Calendar'!$A$2:$A$73,F$1,'Race Calendar'!$I$2:$I$73,"&lt;&gt;Skip")</f>
        <v>0</v>
      </c>
      <c r="G10" s="6" t="n">
        <f aca="false">COUNTIFS('Race Calendar'!$E$2:$E$73,$A10,'Race Calendar'!$A$2:$A$73,G$1,'Race Calendar'!$I$2:$I$73,"&lt;&gt;Skip")</f>
        <v>2</v>
      </c>
      <c r="H10" s="6" t="n">
        <f aca="false">SUM(B10:G10)</f>
        <v>8</v>
      </c>
    </row>
    <row r="11" customFormat="false" ht="15" hidden="false" customHeight="false" outlineLevel="0" collapsed="false">
      <c r="A11" s="6" t="s">
        <v>70</v>
      </c>
      <c r="B11" s="6" t="n">
        <f aca="false">COUNTIFS('Race Calendar'!$E$2:$E$73,$A11,'Race Calendar'!$A$2:$A$73,B$1,'Race Calendar'!$I$2:$I$73,"&lt;&gt;Skip")</f>
        <v>1</v>
      </c>
      <c r="C11" s="6" t="n">
        <f aca="false">COUNTIFS('Race Calendar'!$E$2:$E$73,$A11,'Race Calendar'!$A$2:$A$73,C$1,'Race Calendar'!$I$2:$I$73,"&lt;&gt;Skip")</f>
        <v>4</v>
      </c>
      <c r="D11" s="6" t="n">
        <f aca="false">COUNTIFS('Race Calendar'!$E$2:$E$73,$A11,'Race Calendar'!$A$2:$A$73,D$1,'Race Calendar'!$I$2:$I$73,"&lt;&gt;Skip")</f>
        <v>4</v>
      </c>
      <c r="E11" s="6" t="n">
        <f aca="false">COUNTIFS('Race Calendar'!$E$2:$E$73,$A11,'Race Calendar'!$A$2:$A$73,E$1,'Race Calendar'!$I$2:$I$73,"&lt;&gt;Skip")</f>
        <v>0</v>
      </c>
      <c r="F11" s="6" t="n">
        <f aca="false">COUNTIFS('Race Calendar'!$E$2:$E$73,$A11,'Race Calendar'!$A$2:$A$73,F$1,'Race Calendar'!$I$2:$I$73,"&lt;&gt;Skip")</f>
        <v>0</v>
      </c>
      <c r="G11" s="6" t="n">
        <f aca="false">COUNTIFS('Race Calendar'!$E$2:$E$73,$A11,'Race Calendar'!$A$2:$A$73,G$1,'Race Calendar'!$I$2:$I$73,"&lt;&gt;Skip")</f>
        <v>0</v>
      </c>
      <c r="H11" s="6" t="n">
        <f aca="false">SUM(B11:G11)</f>
        <v>9</v>
      </c>
    </row>
    <row r="12" customFormat="false" ht="15" hidden="false" customHeight="false" outlineLevel="0" collapsed="false">
      <c r="A12" s="5" t="s">
        <v>223</v>
      </c>
      <c r="B12" s="5" t="n">
        <f aca="false">SUM(B2:B11)</f>
        <v>2</v>
      </c>
      <c r="C12" s="5" t="n">
        <f aca="false">SUM(C2:C11)</f>
        <v>18</v>
      </c>
      <c r="D12" s="5" t="n">
        <f aca="false">SUM(D2:D11)</f>
        <v>17</v>
      </c>
      <c r="E12" s="5" t="n">
        <f aca="false">SUM(E2:E11)</f>
        <v>12</v>
      </c>
      <c r="F12" s="5" t="n">
        <f aca="false">SUM(F2:F11)</f>
        <v>6</v>
      </c>
      <c r="G12" s="5" t="n">
        <f aca="false">SUM(G2:G11)</f>
        <v>12</v>
      </c>
      <c r="H12" s="5" t="n">
        <f aca="false">SUM(H2:H11)</f>
        <v>67</v>
      </c>
    </row>
    <row r="14" customFormat="false" ht="15" hidden="false" customHeight="false" outlineLevel="0" collapsed="false">
      <c r="A14" s="6" t="s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2026-09-29T00:17:19Z</dcterms:created>
  <dc:creator>openpyxl</dc:creator>
  <dc:description/>
  <dc:language>en-US</dc:language>
  <cp:lastModifiedBy/>
  <dcterms:modified xsi:type="dcterms:W3CDTF">2026-09-29T00:17:19Z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